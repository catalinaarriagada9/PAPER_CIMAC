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4d2f268779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s_REP" sheetId="3" r:id="R7401a3140fe14c6b"/>
    <x:sheet xmlns:r="http://schemas.openxmlformats.org/officeDocument/2006/relationships" name="Emisiones" sheetId="4" r:id="R5c4d2f8bb03d4430"/>
    <x:sheet xmlns:r="http://schemas.openxmlformats.org/officeDocument/2006/relationships" name="Actualizado" sheetId="1" r:id="R45cfaf06a55e4009"/>
    <x:sheet xmlns:r="http://schemas.openxmlformats.org/officeDocument/2006/relationships" name="Resinas" sheetId="2" r:id="R85f7f6fd26524c0d"/>
    <x:sheet xmlns:r="http://schemas.openxmlformats.org/officeDocument/2006/relationships" name="Desarrollo de indicadores" sheetId="5" r:id="R5051551bb1744557"/>
    <x:sheet xmlns:r="http://schemas.openxmlformats.org/officeDocument/2006/relationships" name="Trazabilidad_ASIPLA" sheetId="6" r:id="Raf73caecb2cd4c19"/>
    <x:sheet xmlns:r="http://schemas.openxmlformats.org/officeDocument/2006/relationships" name="Indicadores_validados" sheetId="7" r:id="Rc70c8389d4ca4cb1"/>
    <x:sheet xmlns:r="http://schemas.openxmlformats.org/officeDocument/2006/relationships" name="Validacion_paper" sheetId="8" r:id="R19987dc373ae41d5"/>
    <x:sheet xmlns:r="http://schemas.openxmlformats.org/officeDocument/2006/relationships" name="Notas_validacion" sheetId="9" r:id="R9a5b5114bc6844ca"/>
  </x:sheets>
</x:workbook>
</file>

<file path=xl/sharedStrings.xml><?xml version="1.0" encoding="utf-8"?>
<x:sst xmlns:x="http://schemas.openxmlformats.org/spreadsheetml/2006/main">
  <x:si>
    <x:t xml:space="preserve">Metas de Recolección y Valorización para Envases No Domiciliarios</x:t>
  </x:si>
  <x:si>
    <x:t xml:space="preserve">AÑO</x:t>
  </x:si>
  <x:si>
    <x:t xml:space="preserve">Plástico</x:t>
  </x:si>
  <x:si>
    <x:t xml:space="preserve">LINK</x:t>
  </x:si>
  <x:si>
    <x:t xml:space="preserve">https://www.bcn.cl/leychile/navegar?idNorma=1157019</x:t>
  </x:si>
  <x:si>
    <x:t xml:space="preserve">Factores de emisión de CO2 eq  para resinas plásticas</x:t>
  </x:si>
  <x:si>
    <x:t xml:space="preserve">Resina</x:t>
  </x:si>
  <x:si>
    <x:t xml:space="preserve">EF virgen</x:t>
  </x:si>
  <x:si>
    <x:t xml:space="preserve">EF reciclado</x:t>
  </x:si>
  <x:si>
    <x:t xml:space="preserve">PET</x:t>
  </x:si>
  <x:si>
    <x:t xml:space="preserve">PP</x:t>
  </x:si>
  <x:si>
    <x:t xml:space="preserve">PE</x:t>
  </x:si>
  <x:si>
    <x:t xml:space="preserve">file:///C:/Users/catal/Desktop/LEY%20REP/CIMAC/paper_final/literatura/55.pdf</x:t>
  </x:si>
  <x:si>
    <x:t xml:space="preserve">Consumo aparente de plásticos (ton)</x:t>
  </x:si>
  <x:si>
    <x:t xml:space="preserve">ASIPLA_2018.pdf</x:t>
  </x:si>
  <x:si>
    <x:t xml:space="preserve">ASIPLA_2019.pdf</x:t>
  </x:si>
  <x:si>
    <x:t xml:space="preserve">ASIPLA_2020.pdf</x:t>
  </x:si>
  <x:si>
    <x:t xml:space="preserve">file:///C:/Users/catal/Desktop/LEY%20REP/DATOS/ASIPLA/ASIPLA_2021.pdf</x:t>
  </x:si>
  <x:si>
    <x:t xml:space="preserve">ASIPLA_2023.pdf</x:t>
  </x:si>
  <x:si>
    <x:t xml:space="preserve">file:///C:/Users/catal/Desktop/LEY%20REP/DATOS/ASIPLA/ASIPLA_2024.pdf</x:t>
  </x:si>
  <x:si>
    <x:t xml:space="preserve">https://asipla.cl/wp-content/uploads/2026/07/Informe-Estadistico-2025-resumen-ejecutivo.pdf</x:t>
  </x:si>
  <x:si>
    <x:t xml:space="preserve">Tasa de reciclaje total, todo tipo de plástico (%)</x:t>
  </x:si>
  <x:si>
    <x:t xml:space="preserve">Proxy por interpolación</x:t>
  </x:si>
  <x:si>
    <x:t xml:space="preserve">ASIPLA_2018-2.pdf</x:t>
  </x:si>
  <x:si>
    <x:t xml:space="preserve">ASIPLA_2021-2.pdf</x:t>
  </x:si>
  <x:si>
    <x:t xml:space="preserve">ASIPLA_2022-2.pdf</x:t>
  </x:si>
  <x:si>
    <x:t xml:space="preserve">ASIPLA_2024-2.pdf</x:t>
  </x:si>
  <x:si>
    <x:t xml:space="preserve">Proxy conservador; primer observado 2024</x:t>
  </x:si>
  <x:si>
    <x:t xml:space="preserve">Cantidad de plástico de todo tipo reciclado (ton)</x:t>
  </x:si>
  <x:si>
    <x:t xml:space="preserve">Entradas envases y embalajes (48%) (ton)</x:t>
  </x:si>
  <x:si>
    <x:t xml:space="preserve">Regla del 48% documentada</x:t>
  </x:si>
  <x:si>
    <x:t xml:space="preserve">Paper-aligned correction: constant 48% packaging share applied to 2018</x:t>
  </x:si>
  <x:si>
    <x:t xml:space="preserve">ASIPLA_2021.pdf</x:t>
  </x:si>
  <x:si>
    <x:t xml:space="preserve">ASIPLA_2022.pdf</x:t>
  </x:si>
  <x:si>
    <x:t xml:space="preserve">ASIPLA_2024.pdf</x:t>
  </x:si>
  <x:si>
    <x:t xml:space="preserve">Tasa de reciclaje de envases y embalajes (%)</x:t>
  </x:si>
  <x:si>
    <x:t xml:space="preserve">Formula corrected after validation against manuscript</x:t>
  </x:si>
  <x:si>
    <x:t xml:space="preserve">Cantidad de envases y emblajes reciclados (ton)</x:t>
  </x:si>
  <x:si>
    <x:t xml:space="preserve">Importación de materia prima reciclada (ton)</x:t>
  </x:si>
  <x:si>
    <x:t xml:space="preserve">Proxy conservador; primer observado 2017</x:t>
  </x:si>
  <x:si>
    <x:t xml:space="preserve">file:///C:/Users/catal/Desktop/LEY%20REP/DATOS/ASIPLA/ASIPLA_2019.pdf</x:t>
  </x:si>
  <x:si>
    <x:t xml:space="preserve">Importación de materia prima virgen (ton)</x:t>
  </x:si>
  <x:si>
    <x:t xml:space="preserve">file:///C:/Users/catal/Desktop/LEY%20REP/DATOS/ASIPLA/ASIPLA_2016.pdf</x:t>
  </x:si>
  <x:si>
    <x:t xml:space="preserve">file:///C:/Users/catal/Desktop/LEY%20REP/DATOS/ASIPLA/ASIPLA_2018.pdf</x:t>
  </x:si>
  <x:si>
    <x:t xml:space="preserve">Importación de manufacturas plásticas (ton)</x:t>
  </x:si>
  <x:si>
    <x:t xml:space="preserve">file:///C:/Users/catal/Desktop/LEY%20REP/DATOS/ASIPLA/ASIPLA_2020.pdf</x:t>
  </x:si>
  <x:si>
    <x:t xml:space="preserve">Exportación de manufacturas plásticas (productos procesados) (ton)</x:t>
  </x:si>
  <x:si>
    <x:t xml:space="preserve">Proxy conservador; primer observado 2016</x:t>
  </x:si>
  <x:si>
    <x:t xml:space="preserve">ASIPLA_2016.pdf</x:t>
  </x:si>
  <x:si>
    <x:t xml:space="preserve">ASIPLA_2017.pdf</x:t>
  </x:si>
  <x:si>
    <x:t xml:space="preserve">Producción de materia prima reciclada (ton)</x:t>
  </x:si>
  <x:si>
    <x:t xml:space="preserve">Proxy conservador; primer observado 2018</x:t>
  </x:si>
  <x:si>
    <x:t xml:space="preserve">file:///C:/Users/catal/Desktop/LEY%20REP/DATOS/ASIPLA/ASIPLA_2018-2.pdf</x:t>
  </x:si>
  <x:si>
    <x:t xml:space="preserve">file:///C:/Users/catal/Desktop/LEY%20REP/DATOS/ASIPLA/ASIPLA_2021-2.pdf</x:t>
  </x:si>
  <x:si>
    <x:t xml:space="preserve">Población total (habitantes)</x:t>
  </x:si>
  <x:si>
    <x:t xml:space="preserve">https://datos.bancomundial.org/indicador/SP.POP.TOTL?locations=CL</x:t>
  </x:si>
  <x:si>
    <x:t xml:space="preserve">Material Gestionado País (MGP) por Tipo de Resina</x:t>
  </x:si>
  <x:si>
    <x:t xml:space="preserve">Según la Asociación Nacional de la Industria del Reciclaje (ANIR) en Chile, el Material Gestionado País (MGP) en plásticos es la cantidad de envases, embalajes o resinas plásticas de posconsumo que fueron efectivamente recolectadas, recuperadas y enviadas a procesos de valorización dentro del territorio nacional o mediante su exportación.</x:t>
  </x:si>
  <x:si>
    <x:t xml:space="preserve">https://anir.cl/estadisticas-del-reciclaje-en-chile-2024/</x:t>
  </x:si>
  <x:si>
    <x:t xml:space="preserve">Consumo local por Tipo de Resina</x:t>
  </x:si>
  <x:si>
    <x:t xml:space="preserve">Proxy; distribución usada 2022</x:t>
  </x:si>
  <x:si>
    <x:t xml:space="preserve">file:///C:/Users/catal/Desktop/LEY%20REP/DATOS/ASIPLA/ASIPLA_2024-2.pdf</x:t>
  </x:si>
  <x:si>
    <x:t xml:space="preserve">Proxy; distribución usada 2024</x:t>
  </x:si>
  <x:si>
    <x:t xml:space="preserve">Importación de Materia Prima Virgen por Tipo de Resina</x:t>
  </x:si>
  <x:si>
    <x:t xml:space="preserve">PEAD</x:t>
  </x:si>
  <x:si>
    <x:t xml:space="preserve">PEBDL</x:t>
  </x:si>
  <x:si>
    <x:t xml:space="preserve">PEBD</x:t>
  </x:si>
  <x:si>
    <x:t xml:space="preserve">Proxy conservador; primer porcentaje observado 2016</x:t>
  </x:si>
  <x:si>
    <x:t xml:space="preserve">file:///C:/Users/catal/Desktop/LEY%20REP/DATOS/ASIPLA/ASIPLA_2017.pdf</x:t>
  </x:si>
  <x:si>
    <x:t xml:space="preserve">Proxy 2018-2021: interpolated resin shares between ASIPLA 2017 and ASIPLA 2022</x:t>
  </x:si>
  <x:si>
    <x:t xml:space="preserve">Proxy 2025: ASIPLA total MPV 2025; PET +8%; other tracked resins use 2024 shares</x:t>
  </x:si>
  <x:si>
    <x:t xml:space="preserve">Importación de Materia Prima Reciclada por Tipo de Resina</x:t>
  </x:si>
  <x:si>
    <x:t xml:space="preserve">N/D</x:t>
  </x:si>
  <x:si>
    <x:t xml:space="preserve">OTROS</x:t>
  </x:si>
  <x:si>
    <x:t xml:space="preserve">N/D: ASIPLA reports MPR imports not disaggregated by resin before 2023</x:t>
  </x:si>
  <x:si>
    <x:t xml:space="preserve">Indicador</x:t>
  </x:si>
  <x:si>
    <x:t xml:space="preserve">Definición</x:t>
  </x:si>
  <x:si>
    <x:t xml:space="preserve">Variables</x:t>
  </x:si>
  <x:si>
    <x:t xml:space="preserve">RESINA</x:t>
  </x:si>
  <x:si>
    <x:t xml:space="preserve">TR_total</x:t>
  </x:si>
  <x:si>
    <x:t xml:space="preserve">Tasa de reciclaje total</x:t>
  </x:si>
  <x:si>
    <x:t xml:space="preserve">Rtotal/Ctotal</x:t>
  </x:si>
  <x:si>
    <x:t xml:space="preserve">TR_packaging</x:t>
  </x:si>
  <x:si>
    <x:t xml:space="preserve">Tasa de reciclaje de envases y embalajes</x:t>
  </x:si>
  <x:si>
    <x:t xml:space="preserve">Rpackaging/Gpackaging</x:t>
  </x:si>
  <x:si>
    <x:t xml:space="preserve">Tgr</x:t>
  </x:si>
  <x:si>
    <x:t xml:space="preserve">Escala de generación de residuos de envases</x:t>
  </x:si>
  <x:si>
    <x:t xml:space="preserve">Gpackaging/P, kg/hab/año</x:t>
  </x:si>
  <x:si>
    <x:t xml:space="preserve">P= población</x:t>
  </x:si>
  <x:si>
    <x:t xml:space="preserve">IRP</x:t>
  </x:si>
  <x:si>
    <x:t xml:space="preserve">Potencial de Reducción de Impacto</x:t>
  </x:si>
  <x:si>
    <x:t xml:space="preserve">Evir= impacto por kg de plástico virgen</x:t>
  </x:si>
  <x:si>
    <x:t xml:space="preserve">Erec= impacto por kg de plástico reciclado</x:t>
  </x:si>
  <x:si>
    <x:t xml:space="preserve">Qrec= materia prima gestionada de resina j</x:t>
  </x:si>
  <x:si>
    <x:t xml:space="preserve">IRP_total</x:t>
  </x:si>
  <x:si>
    <x:t xml:space="preserve">Total IRP</x:t>
  </x:si>
  <x:si>
    <x:t xml:space="preserve">cell</x:t>
  </x:si>
  <x:si>
    <x:t xml:space="preserve">sheet</x:t>
  </x:si>
  <x:si>
    <x:t xml:space="preserve">new_value_or_formula</x:t>
  </x:si>
  <x:si>
    <x:t xml:space="preserve">completion_type</x:t>
  </x:si>
  <x:si>
    <x:t xml:space="preserve">method</x:t>
  </x:si>
  <x:si>
    <x:t xml:space="preserve">source</x:t>
  </x:si>
  <x:si>
    <x:t xml:space="preserve">rationale</x:t>
  </x:si>
  <x:si>
    <x:t xml:space="preserve">E23</x:t>
  </x:si>
  <x:si>
    <x:t xml:space="preserve">Resinas</x:t>
  </x:si>
  <x:si>
    <x:t xml:space="preserve">'=0.150000*Actualizado!H14</x:t>
  </x:si>
  <x:si>
    <x:t xml:space="preserve">formula_proxy</x:t>
  </x:si>
  <x:si>
    <x:t xml:space="preserve">Linear interpolation of resin share between ASIPLA 2017 import composition and ASIPLA 2022 MP virgen distribution; multiplied by ASIPLA total MP virgen for the year.</x:t>
  </x:si>
  <x:si>
    <x:t xml:space="preserve">https://asipla.cl/wp-content/uploads/2024/08/3-Estadisticas-Anuales-2017.pdf ; https://asipla.cl/wp-content/uploads/2024/08/informe-estadistico-anio-2022-version-ejecutiva.pdf</x:t>
  </x:si>
  <x:si>
    <x:t xml:space="preserve">ASIPLA provides total MP virgen for 2018-2021 but not a full resin-level table for those years in the reviewed executive reports.</x:t>
  </x:si>
  <x:si>
    <x:t xml:space="preserve">E24</x:t>
  </x:si>
  <x:si>
    <x:t xml:space="preserve">'=0.079591*Actualizado!H14</x:t>
  </x:si>
  <x:si>
    <x:t xml:space="preserve">E25</x:t>
  </x:si>
  <x:si>
    <x:t xml:space="preserve">'=0.193763*Actualizado!H14</x:t>
  </x:si>
  <x:si>
    <x:t xml:space="preserve">E26</x:t>
  </x:si>
  <x:si>
    <x:t xml:space="preserve">'=0.148602*Actualizado!H14</x:t>
  </x:si>
  <x:si>
    <x:t xml:space="preserve">E27</x:t>
  </x:si>
  <x:si>
    <x:t xml:space="preserve">'=0.108323*Actualizado!H14</x:t>
  </x:si>
  <x:si>
    <x:t xml:space="preserve">E28</x:t>
  </x:si>
  <x:si>
    <x:t xml:space="preserve">'=E25+E26+E27</x:t>
  </x:si>
  <x:si>
    <x:t xml:space="preserve">Sum of PEAD, PEBDL and PEBD.</x:t>
  </x:si>
  <x:si>
    <x:t xml:space="preserve">The workbook aggregates PE as PEAD + PEBDL + PEBD.</x:t>
  </x:si>
  <x:si>
    <x:t xml:space="preserve">F23</x:t>
  </x:si>
  <x:si>
    <x:t xml:space="preserve">'=0.150000*Actualizado!I14</x:t>
  </x:si>
  <x:si>
    <x:t xml:space="preserve">F24</x:t>
  </x:si>
  <x:si>
    <x:t xml:space="preserve">'=0.077194*Actualizado!I14</x:t>
  </x:si>
  <x:si>
    <x:t xml:space="preserve">F25</x:t>
  </x:si>
  <x:si>
    <x:t xml:space="preserve">'=0.195323*Actualizado!I14</x:t>
  </x:si>
  <x:si>
    <x:t xml:space="preserve">F26</x:t>
  </x:si>
  <x:si>
    <x:t xml:space="preserve">'=0.161452*Actualizado!I14</x:t>
  </x:si>
  <x:si>
    <x:t xml:space="preserve">F27</x:t>
  </x:si>
  <x:si>
    <x:t xml:space="preserve">'=0.103742*Actualizado!I14</x:t>
  </x:si>
  <x:si>
    <x:t xml:space="preserve">F28</x:t>
  </x:si>
  <x:si>
    <x:t xml:space="preserve">'=F25+F26+F27</x:t>
  </x:si>
  <x:si>
    <x:t xml:space="preserve">G23</x:t>
  </x:si>
  <x:si>
    <x:t xml:space="preserve">'=0.150000*Actualizado!J14</x:t>
  </x:si>
  <x:si>
    <x:t xml:space="preserve">G24</x:t>
  </x:si>
  <x:si>
    <x:t xml:space="preserve">'=0.074796*Actualizado!J14</x:t>
  </x:si>
  <x:si>
    <x:t xml:space="preserve">G25</x:t>
  </x:si>
  <x:si>
    <x:t xml:space="preserve">'=0.196882*Actualizado!J14</x:t>
  </x:si>
  <x:si>
    <x:t xml:space="preserve">G26</x:t>
  </x:si>
  <x:si>
    <x:t xml:space="preserve">'=0.174301*Actualizado!J14</x:t>
  </x:si>
  <x:si>
    <x:t xml:space="preserve">G27</x:t>
  </x:si>
  <x:si>
    <x:t xml:space="preserve">'=0.099161*Actualizado!J14</x:t>
  </x:si>
  <x:si>
    <x:t xml:space="preserve">G28</x:t>
  </x:si>
  <x:si>
    <x:t xml:space="preserve">'=G25+G26+G27</x:t>
  </x:si>
  <x:si>
    <x:t xml:space="preserve">H23</x:t>
  </x:si>
  <x:si>
    <x:t xml:space="preserve">'=0.150000*Actualizado!K14</x:t>
  </x:si>
  <x:si>
    <x:t xml:space="preserve">H24</x:t>
  </x:si>
  <x:si>
    <x:t xml:space="preserve">'=0.072398*Actualizado!K14</x:t>
  </x:si>
  <x:si>
    <x:t xml:space="preserve">H25</x:t>
  </x:si>
  <x:si>
    <x:t xml:space="preserve">'=0.198441*Actualizado!K14</x:t>
  </x:si>
  <x:si>
    <x:t xml:space="preserve">H26</x:t>
  </x:si>
  <x:si>
    <x:t xml:space="preserve">'=0.187151*Actualizado!K14</x:t>
  </x:si>
  <x:si>
    <x:t xml:space="preserve">H27</x:t>
  </x:si>
  <x:si>
    <x:t xml:space="preserve">'=0.094581*Actualizado!K14</x:t>
  </x:si>
  <x:si>
    <x:t xml:space="preserve">H28</x:t>
  </x:si>
  <x:si>
    <x:t xml:space="preserve">'=H25+H26+H27</x:t>
  </x:si>
  <x:si>
    <x:t xml:space="preserve">L23</x:t>
  </x:si>
  <x:si>
    <x:t xml:space="preserve">'=K23*108%</x:t>
  </x:si>
  <x:si>
    <x:t xml:space="preserve">ASIPLA 2025 states PET imports increased 8%; apply +8% to 2024 PET MP virgen estimate.</x:t>
  </x:si>
  <x:si>
    <x:t xml:space="preserve">Direct qualitative/percentage statement in ASIPLA 2025; still a proxy because the exact PET tonnage is not tabulated.</x:t>
  </x:si>
  <x:si>
    <x:t xml:space="preserve">L24</x:t>
  </x:si>
  <x:si>
    <x:t xml:space="preserve">'=11%*Actualizado!O14</x:t>
  </x:si>
  <x:si>
    <x:t xml:space="preserve">Carry forward 2024 ASIPLA resin-share structure to 2025, except PET where ASIPLA 2025 reports +8%.</x:t>
  </x:si>
  <x:si>
    <x:t xml:space="preserve">https://asipla.cl/wp-content/uploads/2025/06/Informe-Estadistico-2024-resumen-ejecutivo.pdf ; https://asipla.cl/wp-content/uploads/2026/07/Informe-Estadistico-2025-resumen-ejecutivo.pdf</x:t>
  </x:si>
  <x:si>
    <x:t xml:space="preserve">ASIPLA 2025 reports total MP virgen and qualitative changes but no complete 2025 table for PP.</x:t>
  </x:si>
  <x:si>
    <x:t xml:space="preserve">L25</x:t>
  </x:si>
  <x:si>
    <x:t xml:space="preserve">'=25%*Actualizado!O14</x:t>
  </x:si>
  <x:si>
    <x:t xml:space="preserve">ASIPLA 2025 reports total MP virgen and qualitative changes but no complete 2025 table for PEAD.</x:t>
  </x:si>
  <x:si>
    <x:t xml:space="preserve">L26</x:t>
  </x:si>
  <x:si>
    <x:t xml:space="preserve">'=17%*Actualizado!O14</x:t>
  </x:si>
  <x:si>
    <x:t xml:space="preserve">ASIPLA 2025 reports total MP virgen and qualitative changes but no complete 2025 table for PEBDL.</x:t>
  </x:si>
  <x:si>
    <x:t xml:space="preserve">L27</x:t>
  </x:si>
  <x:si>
    <x:t xml:space="preserve">'=9%*Actualizado!O14</x:t>
  </x:si>
  <x:si>
    <x:t xml:space="preserve">ASIPLA 2025 reports total MP virgen and qualitative changes but no complete 2025 table for PEBD.</x:t>
  </x:si>
  <x:si>
    <x:t xml:space="preserve">L28</x:t>
  </x:si>
  <x:si>
    <x:t xml:space="preserve">'=L25+L26+L27</x:t>
  </x:si>
  <x:si>
    <x:t xml:space="preserve">ASIPLA 2025 reports total MP virgen and qualitative changes but no complete 2025 table for PE.</x:t>
  </x:si>
  <x:si>
    <x:t xml:space="preserve">B35</x:t>
  </x:si>
  <x:si>
    <x:t xml:space="preserve">not_calculable</x:t>
  </x:si>
  <x:si>
    <x:t xml:space="preserve">No numeric completion applied</x:t>
  </x:si>
  <x:si>
    <x:t xml:space="preserve">https://asipla.cl/wp-content/uploads/2024/08/informe-estadistico-anio-2022-version-ejecutiva.pdf ; https://asipla.cl/wp-content/uploads/2024/07/informe-estadistico-anio-2023-resumen-ejecutivo.pdf ; https://asipla.cl/wp-content/uploads/2025/06/Informe-Estadistico-2024-resumen-ejecutivo.pdf</x:t>
  </x:si>
  <x:si>
    <x:t xml:space="preserve">Reviewed ASIPLA executive reports state that imported recycled resins are not disaggregated by resin type before the 2023-2025 composition table.</x:t>
  </x:si>
  <x:si>
    <x:t xml:space="preserve">C35</x:t>
  </x:si>
  <x:si>
    <x:t xml:space="preserve">D35</x:t>
  </x:si>
  <x:si>
    <x:t xml:space="preserve">E35</x:t>
  </x:si>
  <x:si>
    <x:t xml:space="preserve">F35</x:t>
  </x:si>
  <x:si>
    <x:t xml:space="preserve">G35</x:t>
  </x:si>
  <x:si>
    <x:t xml:space="preserve">H35</x:t>
  </x:si>
  <x:si>
    <x:t xml:space="preserve">I35</x:t>
  </x:si>
  <x:si>
    <x:t xml:space="preserve">B36</x:t>
  </x:si>
  <x:si>
    <x:t xml:space="preserve">C36</x:t>
  </x:si>
  <x:si>
    <x:t xml:space="preserve">D36</x:t>
  </x:si>
  <x:si>
    <x:t xml:space="preserve">E36</x:t>
  </x:si>
  <x:si>
    <x:t xml:space="preserve">F36</x:t>
  </x:si>
  <x:si>
    <x:t xml:space="preserve">G36</x:t>
  </x:si>
  <x:si>
    <x:t xml:space="preserve">H36</x:t>
  </x:si>
  <x:si>
    <x:t xml:space="preserve">I36</x:t>
  </x:si>
  <x:si>
    <x:t xml:space="preserve">B37</x:t>
  </x:si>
  <x:si>
    <x:t xml:space="preserve">C37</x:t>
  </x:si>
  <x:si>
    <x:t xml:space="preserve">D37</x:t>
  </x:si>
  <x:si>
    <x:t xml:space="preserve">E37</x:t>
  </x:si>
  <x:si>
    <x:t xml:space="preserve">F37</x:t>
  </x:si>
  <x:si>
    <x:t xml:space="preserve">G37</x:t>
  </x:si>
  <x:si>
    <x:t xml:space="preserve">H37</x:t>
  </x:si>
  <x:si>
    <x:t xml:space="preserve">I37</x:t>
  </x:si>
  <x:si>
    <x:t xml:space="preserve">B38</x:t>
  </x:si>
  <x:si>
    <x:t xml:space="preserve">C38</x:t>
  </x:si>
  <x:si>
    <x:t xml:space="preserve">D38</x:t>
  </x:si>
  <x:si>
    <x:t xml:space="preserve">E38</x:t>
  </x:si>
  <x:si>
    <x:t xml:space="preserve">F38</x:t>
  </x:si>
  <x:si>
    <x:t xml:space="preserve">G38</x:t>
  </x:si>
  <x:si>
    <x:t xml:space="preserve">H38</x:t>
  </x:si>
  <x:si>
    <x:t xml:space="preserve">I38</x:t>
  </x:si>
  <x:si>
    <x:t xml:space="preserve">Año</x:t>
  </x:si>
  <x:si>
    <x:t xml:space="preserve">Valor paper</x:t>
  </x:si>
  <x:si>
    <x:t xml:space="preserve">Valor Excel</x:t>
  </x:si>
  <x:si>
    <x:t xml:space="preserve">Diferencia</x:t>
  </x:si>
  <x:si>
    <x:t xml:space="preserve">Resultado</x:t>
  </x:si>
  <x:si>
    <x:t xml:space="preserve">Comentario</x:t>
  </x:si>
  <x:si>
    <x:t xml:space="preserve">Tema</x:t>
  </x:si>
  <x:si>
    <x:t xml:space="preserve">Veredicto</x:t>
  </x:si>
  <x:si>
    <x:t xml:space="preserve">Detalle</x:t>
  </x:si>
</x:sst>
</file>

<file path=xl/styles.xml><?xml version="1.0" encoding="utf-8"?>
<x:styleSheet xmlns:x="http://schemas.openxmlformats.org/spreadsheetml/2006/main">
  <x:numFmts count="8">
    <x:numFmt numFmtId="164" formatCode="_-* #,##0_-;\-* #,##0_-;_-* \-_-;_-@_-"/>
    <x:numFmt numFmtId="165" formatCode="_ * #,##0_ ;_ * \-#,##0_ ;_ * \-_ ;_ @_ "/>
    <x:numFmt numFmtId="166" formatCode="0.00\ %"/>
    <x:numFmt numFmtId="167" formatCode="0\ %"/>
    <x:numFmt numFmtId="168" formatCode="0.0%"/>
    <x:numFmt numFmtId="169" formatCode="0.0000"/>
    <x:numFmt numFmtId="200" formatCode="0.0"/>
    <x:numFmt numFmtId="201" formatCode="0.000000"/>
  </x:numFmts>
  <x:fonts count="26">
    <x:font>
      <x:sz val="11"/>
      <x:color theme="1"/>
      <x:name val="Aptos Narrow"/>
    </x:font>
    <x:font>
      <x:b/>
      <x:sz val="12"/>
      <x:color theme="1"/>
      <x:name val="Aptos Narrow"/>
    </x:font>
    <x:font>
      <x:sz val="12"/>
      <x:color theme="1"/>
      <x:name val="Aptos Narrow"/>
    </x:font>
    <x:font>
      <x:sz val="11"/>
      <x:color theme="10"/>
      <x:name val="Aptos Narrow"/>
    </x:font>
    <x:font>
      <x:sz val="11"/>
      <x:name val="Aptos Narrow"/>
    </x:font>
    <x:font>
      <x:i/>
      <x:sz val="11"/>
      <x:name val="Aptos Narrow"/>
    </x:font>
    <x:font>
      <x:i/>
      <x:sz val="11"/>
      <x:color theme="1"/>
      <x:name val="Aptos Narrow"/>
    </x:font>
    <x:font>
      <x:b/>
      <x:sz val="11"/>
      <x:color theme="1"/>
      <x:name val="Aptos Narrow"/>
    </x:font>
    <x:font>
      <x:sz val="11"/>
      <x:color rgb="FFFF0000"/>
      <x:name val="Aptos Narrow"/>
    </x:font>
    <x:font>
      <x:sz val="12"/>
      <x:color rgb="FFFF0000"/>
      <x:name val="Aptos Narrow"/>
    </x:font>
    <x:font>
      <x:sz val="12"/>
      <x:name val="Aptos Narrow"/>
    </x:font>
    <x:font>
      <x:i/>
      <x:sz val="11"/>
      <x:name val="Aptos Narrow"/>
    </x:font>
    <x:font>
      <x:sz val="11"/>
      <x:color rgb="FF9C0006"/>
      <x:name val="Cambria"/>
    </x:font>
    <x:font>
      <x:b/>
      <x:i/>
      <x:sz val="11"/>
      <x:color theme="1"/>
      <x:name val="Aptos Narrow"/>
    </x:font>
    <x:font>
      <x:b/>
      <x:sz val="12"/>
      <x:color rgb="FFFF0000"/>
      <x:name val="Aptos Narrow"/>
    </x:font>
    <x:font>
      <x:b/>
      <x:i/>
      <x:sz val="11"/>
      <x:color rgb="FFFF0000"/>
      <x:name val="Aptos Narrow"/>
    </x:font>
    <x:font>
      <x:b/>
      <x:sz val="11"/>
      <x:color rgb="FFFF0000"/>
      <x:name val="Aptos Narrow"/>
    </x:font>
    <x:font>
      <x:sz val="11"/>
      <x:color rgb="FF9C0006"/>
      <x:name val="Cambria"/>
    </x:font>
    <x:font>
      <x:b/>
      <x:sz val="11"/>
      <x:color rgb="FFFFFFFF"/>
      <x:name val="Cambria"/>
    </x:font>
    <x:font>
      <x:b/>
      <x:sz val="11"/>
      <x:color rgb="FFFFFFFF"/>
      <x:name val="Cambria"/>
    </x:font>
    <x:font>
      <x:sz val="11"/>
      <x:color theme="1"/>
      <x:name val="Aptos Narrow"/>
    </x:font>
    <x:font>
      <x:sz val="11"/>
      <x:color rgb="FFFF0000"/>
      <x:name val="Calibri"/>
    </x:font>
    <x:font>
      <x:b/>
      <x:sz val="12"/>
      <x:color theme="9"/>
      <x:name val="Aptos Narrow"/>
    </x:font>
    <x:font>
      <x:b/>
      <x:i/>
      <x:sz val="11"/>
      <x:color theme="9"/>
      <x:name val="Aptos Narrow"/>
    </x:font>
    <x:font>
      <x:sz val="11"/>
      <x:color theme="9"/>
      <x:name val="Aptos Narrow"/>
    </x:font>
    <x:font>
      <x:b/>
      <x:i/>
      <x:sz val="11"/>
      <x:color rgb="FFFF0000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theme="5" tint="0.7998"/>
      </x:patternFill>
    </x:fill>
    <x:fill>
      <x:patternFill patternType="solid">
        <x:fgColor theme="7" tint="0.7998"/>
      </x:patternFill>
    </x:fill>
    <x:fill>
      <x:patternFill patternType="solid">
        <x:fgColor rgb="FFFFFF00"/>
      </x:patternFill>
    </x:fill>
    <x:fill>
      <x:patternFill patternType="solid">
        <x:fgColor theme="8" tint="0.7998"/>
      </x:patternFill>
    </x:fill>
    <x:fill>
      <x:patternFill patternType="solid">
        <x:fgColor theme="9" tint="0.7998"/>
      </x:patternFill>
    </x:fill>
    <x:fill>
      <x:patternFill patternType="solid">
        <x:fgColor theme="4" tint="0.39976"/>
      </x:patternFill>
    </x:fill>
    <x:fill>
      <x:patternFill patternType="solid">
        <x:fgColor rgb="FFFFC7CE"/>
      </x:patternFill>
    </x:fill>
    <x:fill>
      <x:patternFill patternType="solid">
        <x:fgColor theme="2" tint="-0.09998"/>
      </x:patternFill>
    </x:fill>
    <x:fill>
      <x:patternFill patternType="solid">
        <x:fgColor rgb="FF1F4E78"/>
      </x:patternFill>
    </x:fill>
    <x:fill>
      <x:patternFill patternType="solid">
        <x:fgColor theme="2" tint="-0.09998"/>
      </x:patternFill>
    </x:fill>
  </x:fills>
  <x:borders count="1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bottom style="thin">
        <x:color rgb="FFD9E2F3"/>
      </x:bottom>
    </x:border>
    <x:border>
      <x:left style="thin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top style="medium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bottom style="medium">
        <x:color auto="1"/>
      </x:bottom>
    </x:border>
  </x:borders>
  <x:cellStyleXfs count="4">
    <x:xf numFmtId="0" fontId="0" fillId="0" borderId="0"/>
    <x:xf numFmtId="167" fontId="20" fillId="0" borderId="0"/>
    <x:xf numFmtId="0" fontId="3" fillId="0" borderId="0"/>
    <x:xf numFmtId="164" fontId="20" fillId="0" borderId="0"/>
  </x:cellStyleXfs>
  <x:cellXfs count="213">
    <x:xf numFmtId="0" fontId="0" fillId="0" borderId="0" xfId="0"/>
    <x:xf numFmtId="0" fontId="6" fillId="6" borderId="1" xfId="0" applyFont="1" applyFill="1" applyBorder="1" applyAlignment="1">
      <x:alignment horizontal="center"/>
    </x:xf>
    <x:xf numFmtId="0" fontId="6" fillId="5" borderId="1" xfId="0" applyFont="1" applyFill="1" applyBorder="1" applyAlignment="1">
      <x:alignment horizontal="center"/>
    </x:xf>
    <x:xf numFmtId="0" fontId="5" fillId="3" borderId="1" xfId="2" applyFont="1" applyFill="1" applyBorder="1" applyAlignment="1">
      <x:alignment horizontal="center"/>
    </x:xf>
    <x:xf numFmtId="0" fontId="3" fillId="2" borderId="1" xfId="2" applyFill="1" applyBorder="1" applyAlignment="1">
      <x:alignment horizontal="center"/>
    </x:xf>
    <x:xf numFmtId="0" fontId="1" fillId="0" borderId="0" xfId="0" applyFont="1"/>
    <x:xf numFmtId="0" fontId="1" fillId="0" borderId="1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49" fontId="1" fillId="2" borderId="1" xfId="0" applyNumberFormat="1" applyFont="1" applyFill="1" applyBorder="1" applyAlignment="1">
      <x:alignment vertical="center" wrapText="1"/>
    </x:xf>
    <x:xf numFmtId="49" fontId="0" fillId="2" borderId="1" xfId="0" applyNumberFormat="1" applyFill="1" applyBorder="1" applyAlignment="1">
      <x:alignment horizontal="center" vertical="center"/>
    </x:xf>
    <x:xf numFmtId="165" fontId="20" fillId="2" borderId="1" xfId="3" applyNumberFormat="1" applyFill="1" applyBorder="1" applyAlignment="1">
      <x:alignment horizontal="center" vertical="center"/>
    </x:xf>
    <x:xf numFmtId="49" fontId="0" fillId="0" borderId="0" xfId="0" applyNumberFormat="1" applyAlignment="1">
      <x:alignment vertical="center"/>
    </x:xf>
    <x:xf numFmtId="0" fontId="2" fillId="2" borderId="1" xfId="0" applyFont="1" applyFill="1" applyBorder="1"/>
    <x:xf numFmtId="0" fontId="0" fillId="2" borderId="1" xfId="0" applyFill="1" applyBorder="1"/>
    <x:xf numFmtId="0" fontId="3" fillId="2" borderId="1" xfId="2" applyFill="1" applyBorder="1"/>
    <x:xf numFmtId="0" fontId="0" fillId="2" borderId="1" xfId="0" applyFill="1" applyBorder="1" applyAlignment="1">
      <x:alignment horizontal="center"/>
    </x:xf>
    <x:xf numFmtId="0" fontId="1" fillId="3" borderId="1" xfId="0" applyFont="1" applyFill="1" applyBorder="1" applyAlignment="1">
      <x:alignment wrapText="1"/>
    </x:xf>
    <x:xf numFmtId="166" fontId="0" fillId="3" borderId="1" xfId="0" applyNumberFormat="1" applyFill="1" applyBorder="1" applyAlignment="1">
      <x:alignment horizontal="center" vertical="center"/>
    </x:xf>
    <x:xf numFmtId="166" fontId="4" fillId="3" borderId="1" xfId="1" applyNumberFormat="1" applyFont="1" applyFill="1" applyBorder="1" applyAlignment="1">
      <x:alignment horizontal="center" vertical="center"/>
    </x:xf>
    <x:xf numFmtId="168" fontId="4" fillId="3" borderId="1" xfId="1" applyNumberFormat="1" applyFont="1" applyFill="1" applyBorder="1" applyAlignment="1">
      <x:alignment horizontal="center" vertical="center"/>
    </x:xf>
    <x:xf numFmtId="168" fontId="20" fillId="3" borderId="1" xfId="1" applyNumberFormat="1" applyFill="1" applyBorder="1" applyAlignment="1">
      <x:alignment horizontal="center" vertical="center"/>
    </x:xf>
    <x:xf numFmtId="166" fontId="0" fillId="4" borderId="1" xfId="0" applyNumberFormat="1" applyFill="1" applyBorder="1" applyAlignment="1">
      <x:alignment horizontal="center" vertical="center"/>
    </x:xf>
    <x:xf numFmtId="166" fontId="0" fillId="0" borderId="0" xfId="0" applyNumberFormat="1"/>
    <x:xf numFmtId="0" fontId="2" fillId="3" borderId="1" xfId="0" applyFont="1" applyFill="1" applyBorder="1" applyAlignment="1">
      <x:alignment wrapText="1"/>
    </x:xf>
    <x:xf numFmtId="0" fontId="0" fillId="3" borderId="1" xfId="0" applyFill="1" applyBorder="1"/>
    <x:xf numFmtId="0" fontId="3" fillId="3" borderId="0" xfId="2" applyFill="1"/>
    <x:xf numFmtId="0" fontId="3" fillId="3" borderId="1" xfId="2" applyFill="1" applyBorder="1"/>
    <x:xf numFmtId="0" fontId="5" fillId="4" borderId="1" xfId="2" applyFont="1" applyFill="1" applyBorder="1" applyAlignment="1">
      <x:alignment horizontal="center"/>
    </x:xf>
    <x:xf numFmtId="0" fontId="1" fillId="3" borderId="1" xfId="0" applyFont="1" applyFill="1" applyBorder="1" applyAlignment="1">
      <x:alignment vertical="center" wrapText="1"/>
    </x:xf>
    <x:xf numFmtId="165" fontId="4" fillId="3" borderId="1" xfId="3" applyNumberFormat="1" applyFont="1" applyFill="1" applyBorder="1" applyAlignment="1">
      <x:alignment vertical="center"/>
    </x:xf>
    <x:xf numFmtId="165" fontId="4" fillId="3" borderId="1" xfId="3" applyNumberFormat="1" applyFont="1" applyFill="1" applyBorder="1" applyAlignment="1">
      <x:alignment horizontal="center" vertical="center"/>
    </x:xf>
    <x:xf numFmtId="165" fontId="20" fillId="3" borderId="1" xfId="3" applyNumberFormat="1" applyFill="1" applyBorder="1" applyAlignment="1">
      <x:alignment horizontal="center" vertical="center"/>
    </x:xf>
    <x:xf numFmtId="0" fontId="1" fillId="5" borderId="1" xfId="0" applyFont="1" applyFill="1" applyBorder="1" applyAlignment="1">
      <x:alignment wrapText="1"/>
    </x:xf>
    <x:xf numFmtId="0" fontId="0" fillId="5" borderId="1" xfId="0" applyFill="1" applyBorder="1"/>
    <x:xf numFmtId="165" fontId="20" fillId="5" borderId="1" xfId="3" applyNumberFormat="1" applyFill="1" applyBorder="1" applyAlignment="1">
      <x:alignment horizontal="center" vertical="center"/>
    </x:xf>
    <x:xf numFmtId="0" fontId="2" fillId="5" borderId="1" xfId="0" applyFont="1" applyFill="1" applyBorder="1"/>
    <x:xf numFmtId="0" fontId="3" fillId="5" borderId="1" xfId="2" applyFill="1" applyBorder="1"/>
    <x:xf numFmtId="0" fontId="1" fillId="6" borderId="1" xfId="0" applyFont="1" applyFill="1" applyBorder="1" applyAlignment="1">
      <x:alignment wrapText="1"/>
    </x:xf>
    <x:xf numFmtId="0" fontId="0" fillId="6" borderId="1" xfId="0" applyFill="1" applyBorder="1"/>
    <x:xf numFmtId="167" fontId="0" fillId="6" borderId="1" xfId="0" applyNumberFormat="1" applyFill="1" applyBorder="1" applyAlignment="1">
      <x:alignment horizontal="center" vertical="center"/>
    </x:xf>
    <x:xf numFmtId="167" fontId="20" fillId="6" borderId="1" xfId="1" applyFill="1" applyBorder="1" applyAlignment="1">
      <x:alignment horizontal="center" vertical="center"/>
    </x:xf>
    <x:xf numFmtId="167" fontId="0" fillId="6" borderId="2" xfId="0" applyNumberFormat="1" applyFill="1" applyBorder="1" applyAlignment="1">
      <x:alignment horizontal="center" vertical="center"/>
    </x:xf>
    <x:xf numFmtId="0" fontId="2" fillId="6" borderId="1" xfId="0" applyFont="1" applyFill="1" applyBorder="1" applyAlignment="1">
      <x:alignment wrapText="1"/>
    </x:xf>
    <x:xf numFmtId="0" fontId="3" fillId="6" borderId="1" xfId="2" applyFill="1" applyBorder="1"/>
    <x:xf numFmtId="165" fontId="20" fillId="6" borderId="1" xfId="3" applyNumberFormat="1" applyFill="1" applyBorder="1" applyAlignment="1">
      <x:alignment horizontal="center" vertical="center"/>
    </x:xf>
    <x:xf numFmtId="165" fontId="20" fillId="6" borderId="1" xfId="3" applyNumberFormat="1" applyFill="1" applyBorder="1" applyAlignment="1">
      <x:alignment vertical="center"/>
    </x:xf>
    <x:xf numFmtId="0" fontId="1" fillId="2" borderId="1" xfId="0" applyFont="1" applyFill="1" applyBorder="1" applyAlignment="1">
      <x:alignment wrapText="1"/>
    </x:xf>
    <x:xf numFmtId="165" fontId="20" fillId="4" borderId="1" xfId="3" applyNumberFormat="1" applyFill="1" applyBorder="1" applyAlignment="1">
      <x:alignment vertical="center"/>
    </x:xf>
    <x:xf numFmtId="165" fontId="20" fillId="2" borderId="1" xfId="3" applyNumberFormat="1" applyFill="1" applyBorder="1" applyAlignment="1">
      <x:alignment vertical="center"/>
    </x:xf>
    <x:xf numFmtId="165" fontId="20" fillId="2" borderId="3" xfId="3" applyNumberFormat="1" applyFill="1" applyBorder="1" applyAlignment="1">
      <x:alignment vertical="center"/>
    </x:xf>
    <x:xf numFmtId="165" fontId="20" fillId="3" borderId="1" xfId="3" applyNumberFormat="1" applyFill="1" applyBorder="1" applyAlignment="1">
      <x:alignment vertical="center"/>
    </x:xf>
    <x:xf numFmtId="165" fontId="20" fillId="3" borderId="2" xfId="3" applyNumberFormat="1" applyFill="1" applyBorder="1" applyAlignment="1">
      <x:alignment vertical="center"/>
    </x:xf>
    <x:xf numFmtId="0" fontId="2" fillId="3" borderId="3" xfId="0" applyFont="1" applyFill="1" applyBorder="1"/>
    <x:xf numFmtId="0" fontId="3" fillId="3" borderId="3" xfId="2" applyFill="1" applyBorder="1"/>
    <x:xf numFmtId="0" fontId="3" fillId="3" borderId="1" xfId="2" applyFill="1" applyBorder="1" applyAlignment="1">
      <x:alignment horizontal="center"/>
    </x:xf>
    <x:xf numFmtId="0" fontId="3" fillId="2" borderId="3" xfId="2" applyFill="1" applyBorder="1" applyAlignment="1">
      <x:alignment horizontal="center"/>
    </x:xf>
    <x:xf numFmtId="0" fontId="0" fillId="2" borderId="3" xfId="0" applyFill="1" applyBorder="1" applyAlignment="1">
      <x:alignment horizontal="center"/>
    </x:xf>
    <x:xf numFmtId="165" fontId="4" fillId="2" borderId="1" xfId="3" applyNumberFormat="1" applyFont="1" applyFill="1" applyBorder="1" applyAlignment="1">
      <x:alignment horizontal="center" vertical="center"/>
    </x:xf>
    <x:xf numFmtId="165" fontId="4" fillId="2" borderId="1" xfId="3" applyNumberFormat="1" applyFont="1" applyFill="1" applyBorder="1" applyAlignment="1">
      <x:alignment vertical="center"/>
    </x:xf>
    <x:xf numFmtId="0" fontId="2" fillId="2" borderId="3" xfId="0" applyFont="1" applyFill="1" applyBorder="1"/>
    <x:xf numFmtId="165" fontId="20" fillId="5" borderId="1" xfId="3" applyNumberFormat="1" applyFill="1" applyBorder="1" applyAlignment="1">
      <x:alignment vertical="center"/>
    </x:xf>
    <x:xf numFmtId="165" fontId="20" fillId="5" borderId="4" xfId="3" applyNumberFormat="1" applyFill="1" applyBorder="1" applyAlignment="1">
      <x:alignment vertical="center"/>
    </x:xf>
    <x:xf numFmtId="165" fontId="20" fillId="5" borderId="2" xfId="3" applyNumberFormat="1" applyFill="1" applyBorder="1" applyAlignment="1">
      <x:alignment vertical="center"/>
    </x:xf>
    <x:xf numFmtId="0" fontId="2" fillId="5" borderId="1" xfId="0" applyFont="1" applyFill="1" applyBorder="1" applyAlignment="1">
      <x:alignment wrapText="1"/>
    </x:xf>
    <x:xf numFmtId="0" fontId="6" fillId="3" borderId="5" xfId="0" applyFont="1" applyFill="1" applyBorder="1" applyAlignment="1">
      <x:alignment horizontal="center"/>
    </x:xf>
    <x:xf numFmtId="165" fontId="4" fillId="4" borderId="1" xfId="3" applyNumberFormat="1" applyFont="1" applyFill="1" applyBorder="1" applyAlignment="1">
      <x:alignment horizontal="center" vertical="center"/>
    </x:xf>
    <x:xf numFmtId="165" fontId="20" fillId="3" borderId="0" xfId="3" applyNumberFormat="1" applyFill="1" applyAlignment="1">
      <x:alignment horizontal="center" vertical="center"/>
    </x:xf>
    <x:xf numFmtId="0" fontId="6" fillId="3" borderId="1" xfId="0" applyFont="1" applyFill="1" applyBorder="1" applyAlignment="1">
      <x:alignment horizontal="center"/>
    </x:xf>
    <x:xf numFmtId="165" fontId="20" fillId="6" borderId="4" xfId="3" applyNumberFormat="1" applyFill="1" applyBorder="1" applyAlignment="1">
      <x:alignment vertical="center"/>
    </x:xf>
    <x:xf numFmtId="0" fontId="2" fillId="6" borderId="1" xfId="0" applyFont="1" applyFill="1" applyBorder="1"/>
    <x:xf numFmtId="0" fontId="1" fillId="0" borderId="0" xfId="0" applyFont="1" applyAlignment="1">
      <x:alignment vertical="center"/>
    </x:xf>
    <x:xf numFmtId="0" fontId="1" fillId="0" borderId="4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165" fontId="8" fillId="4" borderId="1" xfId="3" applyNumberFormat="1" applyFont="1" applyFill="1" applyBorder="1"/>
    <x:xf numFmtId="165" fontId="20" fillId="0" borderId="1" xfId="3" applyNumberFormat="1" applyBorder="1"/>
    <x:xf numFmtId="0" fontId="2" fillId="0" borderId="1" xfId="0" applyFont="1" applyBorder="1" applyAlignment="1">
      <x:alignment horizontal="center" vertical="center"/>
    </x:xf>
    <x:xf numFmtId="0" fontId="0" fillId="4" borderId="1" xfId="0" applyFill="1" applyBorder="1" applyAlignment="1">
      <x:alignment vertical="center" wrapText="1"/>
    </x:xf>
    <x:xf numFmtId="0" fontId="0" fillId="0" borderId="0" xfId="0" applyAlignment="1">
      <x:alignment vertical="center"/>
    </x:xf>
    <x:xf numFmtId="3" fontId="0" fillId="0" borderId="1" xfId="0" applyNumberFormat="1" applyBorder="1"/>
    <x:xf numFmtId="165" fontId="20" fillId="7" borderId="1" xfId="3" applyNumberFormat="1" applyFill="1" applyBorder="1"/>
    <x:xf numFmtId="165" fontId="20" fillId="0" borderId="1" xfId="3" applyNumberFormat="1" applyBorder="1" applyAlignment="1">
      <x:alignment horizontal="center"/>
    </x:xf>
    <x:xf numFmtId="165" fontId="20" fillId="7" borderId="1" xfId="3" applyNumberFormat="1" applyFill="1" applyBorder="1" applyAlignment="1">
      <x:alignment horizontal="center"/>
    </x:xf>
    <x:xf numFmtId="0" fontId="3" fillId="0" borderId="1" xfId="2" applyBorder="1"/>
    <x:xf numFmtId="0" fontId="6" fillId="0" borderId="1" xfId="0" applyFont="1" applyBorder="1" applyAlignment="1">
      <x:alignment horizontal="center"/>
    </x:xf>
    <x:xf numFmtId="165" fontId="3" fillId="0" borderId="1" xfId="2" applyNumberFormat="1" applyBorder="1"/>
    <x:xf numFmtId="165" fontId="20" fillId="0" borderId="0" xfId="3" applyNumberFormat="1"/>
    <x:xf numFmtId="165" fontId="8" fillId="4" borderId="1" xfId="0" applyNumberFormat="1" applyFont="1" applyFill="1" applyBorder="1" applyAlignment="1">
      <x:alignment horizontal="center" vertical="center"/>
    </x:xf>
    <x:xf numFmtId="165" fontId="8" fillId="0" borderId="1" xfId="0" applyNumberFormat="1" applyFont="1" applyBorder="1" applyAlignment="1">
      <x:alignment horizontal="center" vertical="center"/>
    </x:xf>
    <x:xf numFmtId="165" fontId="0" fillId="0" borderId="1" xfId="0" applyNumberFormat="1" applyBorder="1" applyAlignment="1">
      <x:alignment horizontal="center" vertical="center"/>
    </x:xf>
    <x:xf numFmtId="165" fontId="0" fillId="0" borderId="1" xfId="0" applyNumberFormat="1" applyBorder="1" applyAlignment="1">
      <x:alignment horizontal="center"/>
    </x:xf>
    <x:xf numFmtId="165" fontId="0" fillId="0" borderId="0" xfId="0" applyNumberFormat="1"/>
    <x:xf numFmtId="165" fontId="9" fillId="4" borderId="1" xfId="3" applyNumberFormat="1" applyFont="1" applyFill="1" applyBorder="1" applyAlignment="1">
      <x:alignment horizontal="center" vertical="center"/>
    </x:xf>
    <x:xf numFmtId="165" fontId="10" fillId="0" borderId="1" xfId="3" applyNumberFormat="1" applyFont="1" applyBorder="1" applyAlignment="1">
      <x:alignment horizontal="center" vertical="center"/>
    </x:xf>
    <x:xf numFmtId="165" fontId="8" fillId="0" borderId="1" xfId="3" applyNumberFormat="1" applyFont="1" applyBorder="1" applyAlignment="1">
      <x:alignment horizontal="center"/>
    </x:xf>
    <x:xf numFmtId="165" fontId="20" fillId="0" borderId="0" xfId="3" applyNumberFormat="1" applyAlignment="1">
      <x:alignment vertical="center"/>
    </x:xf>
    <x:xf numFmtId="167" fontId="20" fillId="0" borderId="0" xfId="1"/>
    <x:xf numFmtId="165" fontId="4" fillId="0" borderId="1" xfId="0" applyNumberFormat="1" applyFont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/>
    </x:xf>
    <x:xf numFmtId="165" fontId="4" fillId="5" borderId="1" xfId="0" applyNumberFormat="1" applyFont="1" applyFill="1" applyBorder="1" applyAlignment="1">
      <x:alignment horizontal="center" vertical="center"/>
    </x:xf>
    <x:xf numFmtId="165" fontId="0" fillId="5" borderId="1" xfId="0" applyNumberFormat="1" applyFill="1" applyBorder="1" applyAlignment="1">
      <x:alignment horizontal="center" vertical="center"/>
    </x:xf>
    <x:xf numFmtId="165" fontId="0" fillId="5" borderId="1" xfId="0" applyNumberFormat="1" applyFill="1" applyBorder="1" applyAlignment="1">
      <x:alignment horizontal="center"/>
    </x:xf>
    <x:xf numFmtId="0" fontId="2" fillId="0" borderId="1" xfId="0" applyFont="1" applyBorder="1" applyAlignment="1">
      <x:alignment horizontal="center" vertical="center" wrapText="1"/>
    </x:xf>
    <x:xf numFmtId="0" fontId="6" fillId="4" borderId="5" xfId="0" applyFont="1" applyFill="1" applyBorder="1" applyAlignment="1">
      <x:alignment horizontal="center" vertical="center" wrapText="1"/>
    </x:xf>
    <x:xf numFmtId="0" fontId="3" fillId="0" borderId="0" xfId="2" applyAlignment="1">
      <x:alignment vertical="center" wrapText="1"/>
    </x:xf>
    <x:xf numFmtId="0" fontId="3" fillId="0" borderId="1" xfId="2" applyBorder="1" applyAlignment="1">
      <x:alignment vertical="center" wrapText="1"/>
    </x:xf>
    <x:xf numFmtId="0" fontId="11" fillId="0" borderId="1" xfId="2" applyFont="1" applyBorder="1" applyAlignment="1">
      <x:alignment vertical="top" wrapText="1"/>
    </x:xf>
    <x:xf numFmtId="0" fontId="0" fillId="0" borderId="0" xfId="0" applyAlignment="1">
      <x:alignment vertical="center" wrapText="1"/>
    </x:xf>
    <x:xf numFmtId="0" fontId="3" fillId="0" borderId="0" xfId="2"/>
    <x:xf numFmtId="165" fontId="12" fillId="8" borderId="1" xfId="0" applyNumberFormat="1" applyFont="1" applyFill="1" applyBorder="1" applyAlignment="1">
      <x:alignment horizontal="right"/>
    </x:xf>
    <x:xf numFmtId="165" fontId="0" fillId="0" borderId="1" xfId="0" applyNumberFormat="1" applyBorder="1" applyAlignment="1">
      <x:alignment horizontal="right"/>
    </x:xf>
    <x:xf numFmtId="0" fontId="0" fillId="0" borderId="1" xfId="0" applyBorder="1" applyAlignment="1">
      <x:alignment horizontal="right"/>
    </x:xf>
    <x:xf numFmtId="0" fontId="2" fillId="0" borderId="5" xfId="0" applyFont="1" applyBorder="1" applyAlignment="1">
      <x:alignment vertical="top" wrapText="1"/>
    </x:xf>
    <x:xf numFmtId="0" fontId="2" fillId="0" borderId="5" xfId="0" applyFont="1" applyBorder="1" applyAlignment="1">
      <x:alignment horizontal="center" vertical="center"/>
    </x:xf>
    <x:xf numFmtId="167" fontId="20" fillId="0" borderId="1" xfId="1" applyBorder="1"/>
    <x:xf numFmtId="0" fontId="0" fillId="0" borderId="1" xfId="0" applyBorder="1"/>
    <x:xf numFmtId="0" fontId="1" fillId="0" borderId="3" xfId="0" applyFont="1" applyBorder="1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7" xfId="0" applyFont="1" applyBorder="1" applyAlignment="1">
      <x:alignment horizontal="center" vertical="center"/>
    </x:xf>
    <x:xf numFmtId="0" fontId="13" fillId="0" borderId="8" xfId="0" applyFont="1" applyBorder="1" applyAlignment="1">
      <x:alignment horizontal="center" vertical="center"/>
    </x:xf>
    <x:xf numFmtId="0" fontId="13" fillId="0" borderId="8" xfId="0" applyFont="1" applyBorder="1"/>
    <x:xf numFmtId="0" fontId="13" fillId="9" borderId="8" xfId="0" applyFont="1" applyFill="1" applyBorder="1"/>
    <x:xf numFmtId="168" fontId="0" fillId="0" borderId="8" xfId="0" applyNumberFormat="1" applyBorder="1" applyAlignment="1">
      <x:alignment horizontal="center" vertical="center"/>
    </x:xf>
    <x:xf numFmtId="168" fontId="0" fillId="0" borderId="9" xfId="0" applyNumberFormat="1" applyBorder="1" applyAlignment="1">
      <x:alignment horizontal="center" vertical="center"/>
    </x:xf>
    <x:xf numFmtId="0" fontId="7" fillId="0" borderId="8" xfId="0" applyFont="1" applyBorder="1"/>
    <x:xf numFmtId="0" fontId="7" fillId="9" borderId="8" xfId="0" applyFont="1" applyFill="1" applyBorder="1"/>
    <x:xf numFmtId="0" fontId="7" fillId="0" borderId="10" xfId="0" applyFont="1" applyBorder="1"/>
    <x:xf numFmtId="0" fontId="7" fillId="9" borderId="10" xfId="0" applyFont="1" applyFill="1" applyBorder="1"/>
    <x:xf numFmtId="0" fontId="14" fillId="0" borderId="7" xfId="0" applyFont="1" applyBorder="1" applyAlignment="1">
      <x:alignment horizontal="center" vertical="center"/>
    </x:xf>
    <x:xf numFmtId="0" fontId="15" fillId="0" borderId="8" xfId="0" applyFont="1" applyBorder="1" applyAlignment="1">
      <x:alignment horizontal="center" vertical="center"/>
    </x:xf>
    <x:xf numFmtId="0" fontId="8" fillId="0" borderId="0" xfId="0" applyFont="1"/>
    <x:xf numFmtId="0" fontId="15" fillId="0" borderId="1" xfId="0" applyFont="1" applyBorder="1" applyAlignment="1">
      <x:alignment wrapText="1"/>
    </x:xf>
    <x:xf numFmtId="0" fontId="1" fillId="0" borderId="8" xfId="0" applyFont="1" applyBorder="1" applyAlignment="1">
      <x:alignment horizontal="center" vertical="center"/>
    </x:xf>
    <x:xf numFmtId="169" fontId="0" fillId="0" borderId="8" xfId="0" applyNumberFormat="1" applyBorder="1"/>
    <x:xf numFmtId="169" fontId="0" fillId="0" borderId="9" xfId="0" applyNumberFormat="1" applyBorder="1"/>
    <x:xf numFmtId="0" fontId="15" fillId="0" borderId="8" xfId="0" applyFont="1" applyBorder="1" applyAlignment="1">
      <x:alignment wrapText="1"/>
    </x:xf>
    <x:xf numFmtId="0" fontId="17" fillId="8" borderId="8" xfId="0" applyFont="1" applyFill="1" applyBorder="1"/>
    <x:xf numFmtId="0" fontId="17" fillId="8" borderId="9" xfId="0" applyFont="1" applyFill="1" applyBorder="1"/>
    <x:xf numFmtId="0" fontId="17" fillId="8" borderId="1" xfId="0" applyFont="1" applyFill="1" applyBorder="1"/>
    <x:xf numFmtId="0" fontId="17" fillId="8" borderId="12" xfId="0" applyFont="1" applyFill="1" applyBorder="1"/>
    <x:xf numFmtId="0" fontId="18" fillId="10" borderId="13" xfId="0" applyFont="1" applyFill="1" applyBorder="1" applyAlignment="1">
      <x:alignment vertical="center" wrapText="1"/>
    </x:xf>
    <x:xf numFmtId="0" fontId="0" fillId="0" borderId="13" xfId="0" applyBorder="1" applyAlignment="1">
      <x:alignment vertical="top" wrapText="1"/>
    </x:xf>
    <x:xf numFmtId="0" fontId="19" fillId="10" borderId="13" xfId="0" applyFont="1" applyFill="1" applyBorder="1" applyAlignment="1">
      <x:alignment vertical="top" wrapText="1"/>
    </x:xf>
    <x:xf numFmtId="169" fontId="0" fillId="0" borderId="13" xfId="0" applyNumberFormat="1" applyBorder="1" applyAlignment="1">
      <x:alignment vertical="top" wrapText="1"/>
    </x:xf>
    <x:xf numFmtId="0" fontId="6" fillId="4" borderId="1" xfId="0" applyFont="1" applyFill="1" applyBorder="1" applyAlignment="1">
      <x:alignment horizontal="center" vertical="center"/>
    </x:xf>
    <x:xf numFmtId="0" fontId="3" fillId="3" borderId="1" xfId="2" applyFill="1" applyBorder="1" applyAlignment="1">
      <x:alignment horizontal="center"/>
    </x:xf>
    <x:xf numFmtId="0" fontId="3" fillId="6" borderId="1" xfId="2" applyFill="1" applyBorder="1" applyAlignment="1">
      <x:alignment horizontal="center" vertical="center"/>
    </x:xf>
    <x:xf numFmtId="0" fontId="3" fillId="2" borderId="1" xfId="2" applyFill="1" applyBorder="1" applyAlignment="1">
      <x:alignment horizontal="center"/>
    </x:xf>
    <x:xf numFmtId="0" fontId="6" fillId="5" borderId="1" xfId="0" applyFont="1" applyFill="1" applyBorder="1" applyAlignment="1">
      <x:alignment horizontal="center"/>
    </x:xf>
    <x:xf numFmtId="0" fontId="3" fillId="5" borderId="1" xfId="2" applyFill="1" applyBorder="1" applyAlignment="1">
      <x:alignment horizontal="center"/>
    </x:xf>
    <x:xf numFmtId="0" fontId="6" fillId="4" borderId="1" xfId="0" applyFont="1" applyFill="1" applyBorder="1" applyAlignment="1">
      <x:alignment horizontal="center"/>
    </x:xf>
    <x:xf numFmtId="0" fontId="3" fillId="3" borderId="3" xfId="2" applyFill="1" applyBorder="1" applyAlignment="1">
      <x:alignment horizontal="center"/>
    </x:xf>
    <x:xf numFmtId="0" fontId="5" fillId="3" borderId="1" xfId="2" applyFont="1" applyFill="1" applyBorder="1" applyAlignment="1">
      <x:alignment horizontal="center"/>
    </x:xf>
    <x:xf numFmtId="0" fontId="6" fillId="6" borderId="1" xfId="0" applyFont="1" applyFill="1" applyBorder="1" applyAlignment="1">
      <x:alignment horizontal="center"/>
    </x:xf>
    <x:xf numFmtId="0" fontId="6" fillId="6" borderId="1" xfId="0" applyFont="1" applyFill="1" applyBorder="1" applyAlignment="1">
      <x:alignment horizontal="center" vertical="center"/>
    </x:xf>
    <x:xf numFmtId="0" fontId="1" fillId="0" borderId="6" xfId="0" applyFont="1" applyBorder="1" applyAlignment="1">
      <x:alignment horizontal="center" vertical="center"/>
    </x:xf>
    <x:xf numFmtId="0" fontId="3" fillId="0" borderId="1" xfId="2" applyBorder="1" applyAlignment="1">
      <x:alignment horizontal="center" vertical="center" wrapText="1"/>
    </x:xf>
    <x:xf numFmtId="0" fontId="6" fillId="0" borderId="1" xfId="0" applyFont="1" applyBorder="1" applyAlignment="1">
      <x:alignment vertical="top" wrapText="1"/>
    </x:xf>
    <x:xf numFmtId="0" fontId="3" fillId="0" borderId="1" xfId="2" applyBorder="1" applyAlignment="1">
      <x:alignment horizontal="center"/>
    </x:xf>
    <x:xf numFmtId="0" fontId="7" fillId="0" borderId="6" xfId="0" applyFont="1" applyBorder="1" applyAlignment="1">
      <x:alignment horizontal="center" vertical="center" wrapText="1"/>
    </x:xf>
    <x:xf numFmtId="0" fontId="3" fillId="0" borderId="1" xfId="2" applyBorder="1" applyAlignment="1">
      <x:alignment horizontal="center" vertical="center"/>
    </x:xf>
    <x:xf numFmtId="0" fontId="1" fillId="0" borderId="6" xfId="0" applyFont="1" applyBorder="1" applyAlignment="1">
      <x:alignment horizontal="center" vertical="center" wrapText="1"/>
    </x:xf>
    <x:xf numFmtId="0" fontId="0" fillId="0" borderId="1" xfId="0" applyBorder="1" applyAlignment="1">
      <x:alignment horizontal="center"/>
    </x:xf>
    <x:xf numFmtId="0" fontId="16" fillId="0" borderId="7" xfId="0" applyFont="1" applyBorder="1" applyAlignment="1">
      <x:alignment horizontal="center" vertical="center"/>
    </x:xf>
    <x:xf numFmtId="0" fontId="15" fillId="0" borderId="8" xfId="0" applyFont="1" applyBorder="1" applyAlignment="1">
      <x:alignment horizontal="center" vertical="center"/>
    </x:xf>
    <x:xf numFmtId="0" fontId="14" fillId="0" borderId="7" xfId="0" applyFont="1" applyBorder="1" applyAlignment="1">
      <x:alignment horizontal="center" vertical="center"/>
    </x:xf>
    <x:xf numFmtId="169" fontId="0" fillId="0" borderId="8" xfId="0" applyNumberFormat="1" applyBorder="1" applyAlignment="1">
      <x:alignment horizontal="center" vertical="center"/>
    </x:xf>
    <x:xf numFmtId="169" fontId="0" fillId="0" borderId="9" xfId="0" applyNumberFormat="1" applyBorder="1" applyAlignment="1">
      <x:alignment horizontal="center" vertical="center"/>
    </x:xf>
    <x:xf numFmtId="0" fontId="1" fillId="0" borderId="7" xfId="0" applyFont="1" applyBorder="1" applyAlignment="1">
      <x:alignment horizontal="center" vertical="center"/>
    </x:xf>
    <x:xf numFmtId="0" fontId="13" fillId="0" borderId="8" xfId="0" applyFont="1" applyBorder="1" applyAlignment="1">
      <x:alignment horizontal="center" vertical="center"/>
    </x:xf>
    <x:xf numFmtId="168" fontId="0" fillId="9" borderId="11" xfId="0" applyNumberFormat="1" applyFill="1" applyBorder="1" applyAlignment="1">
      <x:alignment horizontal="center"/>
    </x:xf>
    <x:xf numFmtId="168" fontId="20" fillId="0" borderId="8" xfId="1" applyNumberFormat="1" applyBorder="1" applyAlignment="1">
      <x:alignment vertical="center"/>
    </x:xf>
    <x:xf numFmtId="168" fontId="20" fillId="0" borderId="9" xfId="1" applyNumberFormat="1" applyBorder="1" applyAlignment="1">
      <x:alignment vertical="center"/>
    </x:xf>
    <x:xf numFmtId="0" fontId="13" fillId="0" borderId="8" xfId="0" applyFont="1" applyBorder="1" applyAlignment="1">
      <x:alignment horizontal="center" vertical="center" wrapText="1"/>
    </x:xf>
    <x:xf numFmtId="0" fontId="22" fillId="0" borderId="7" xfId="0" applyFont="1" applyBorder="1" applyAlignment="1">
      <x:alignment horizontal="center" vertical="center"/>
    </x:xf>
    <x:xf numFmtId="0" fontId="23" fillId="0" borderId="8" xfId="0" applyFont="1" applyBorder="1" applyAlignment="1">
      <x:alignment horizontal="center" vertical="center"/>
    </x:xf>
    <x:xf numFmtId="0" fontId="23" fillId="0" borderId="8" xfId="0" applyFont="1" applyBorder="1" applyAlignment="1">
      <x:alignment horizontal="left" vertical="center" wrapText="1"/>
    </x:xf>
    <x:xf numFmtId="169" fontId="24" fillId="0" borderId="8" xfId="0" applyNumberFormat="1" applyFont="1" applyBorder="1"/>
    <x:xf numFmtId="0" fontId="22" fillId="0" borderId="1" xfId="0" applyFont="1" applyBorder="1" applyAlignment="1">
      <x:alignment horizontal="center" vertical="center"/>
    </x:xf>
    <x:xf numFmtId="169" fontId="24" fillId="0" borderId="1" xfId="0" applyNumberFormat="1" applyFont="1" applyBorder="1"/>
    <x:xf numFmtId="0" fontId="23" fillId="0" borderId="1" xfId="0" applyFont="1" applyBorder="1" applyAlignment="1">
      <x:alignment horizontal="left" vertical="center" wrapText="1"/>
    </x:xf>
    <x:xf numFmtId="0" fontId="13" fillId="9" borderId="3" xfId="0" applyFont="1" applyFill="1" applyBorder="1"/>
    <x:xf numFmtId="0" fontId="22" fillId="0" borderId="4" xfId="0" applyFont="1" applyBorder="1" applyAlignment="1">
      <x:alignment horizontal="center" vertical="center"/>
    </x:xf>
    <x:xf numFmtId="0" fontId="15" fillId="0" borderId="15" xfId="0" applyFont="1" applyBorder="1" applyAlignment="1">
      <x:alignment horizontal="center" vertical="center"/>
    </x:xf>
    <x:xf numFmtId="0" fontId="13" fillId="0" borderId="3" xfId="0" applyFont="1" applyBorder="1"/>
    <x:xf numFmtId="168" fontId="0" fillId="9" borderId="14" xfId="0" applyNumberFormat="1" applyFill="1" applyBorder="1" applyAlignment="1">
      <x:alignment horizontal="center"/>
    </x:xf>
    <x:xf numFmtId="0" fontId="23" fillId="0" borderId="4" xfId="0" applyFont="1" applyBorder="1" applyAlignment="1">
      <x:alignment horizontal="left" vertical="center" wrapText="1"/>
    </x:xf>
    <x:xf numFmtId="169" fontId="24" fillId="0" borderId="4" xfId="0" applyNumberFormat="1" applyFont="1" applyBorder="1"/>
    <x:xf numFmtId="0" fontId="15" fillId="0" borderId="7" xfId="0" applyFont="1" applyBorder="1"/>
    <x:xf numFmtId="0" fontId="15" fillId="0" borderId="16" xfId="0" applyFont="1" applyBorder="1" applyAlignment="1">
      <x:alignment wrapText="1"/>
    </x:xf>
    <x:xf numFmtId="0" fontId="15" fillId="0" borderId="17" xfId="0" applyFont="1" applyBorder="1" applyAlignment="1">
      <x:alignment wrapText="1"/>
    </x:xf>
    <x:xf numFmtId="0" fontId="25" fillId="11" borderId="8" xfId="0" applyFont="1" applyFill="1" applyBorder="1"/>
    <x:xf numFmtId="169" fontId="21" fillId="0" borderId="8" xfId="0" applyNumberFormat="1" applyFont="1" applyBorder="1" applyAlignment="1">
      <x:alignment vertical="center"/>
    </x:xf>
    <x:xf numFmtId="0" fontId="25" fillId="11" borderId="1" xfId="0" applyFont="1" applyFill="1" applyBorder="1" applyAlignment="1">
      <x:alignment wrapText="1"/>
    </x:xf>
    <x:xf numFmtId="169" fontId="21" fillId="0" borderId="1" xfId="0" applyNumberFormat="1" applyFont="1" applyBorder="1" applyAlignment="1">
      <x:alignment vertical="center"/>
    </x:xf>
    <x:xf numFmtId="0" fontId="25" fillId="11" borderId="10" xfId="0" applyFont="1" applyFill="1" applyBorder="1" applyAlignment="1">
      <x:alignment wrapText="1"/>
    </x:xf>
    <x:xf numFmtId="169" fontId="21" fillId="0" borderId="10" xfId="0" applyNumberFormat="1" applyFont="1" applyBorder="1" applyAlignment="1">
      <x:alignment vertical="center"/>
    </x:xf>
    <x:xf numFmtId="169" fontId="21" fillId="0" borderId="14" xfId="0" applyNumberFormat="1" applyFont="1" applyBorder="1" applyAlignment="1">
      <x:alignment vertical="center"/>
    </x:xf>
    <x:xf numFmtId="169" fontId="21" fillId="0" borderId="2" xfId="0" applyNumberFormat="1" applyFont="1" applyBorder="1" applyAlignment="1">
      <x:alignment vertical="center"/>
    </x:xf>
    <x:xf numFmtId="169" fontId="21" fillId="0" borderId="18" xfId="0" applyNumberFormat="1" applyFont="1" applyBorder="1" applyAlignment="1">
      <x:alignment vertical="center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3" fillId="0" borderId="8" xfId="0" applyNumberFormat="1" applyFont="1" applyFill="1" applyBorder="1" applyAlignment="1">
      <x:alignment horizontal="center" vertical="center" wrapText="1"/>
    </x:xf>
    <x:xf numFmtId="0" fontId="13" fillId="0" borderId="8" xfId="0" applyNumberFormat="1" applyFont="1" applyFill="1" applyBorder="1" applyAlignment="1">
      <x:alignment wrapText="1"/>
    </x:xf>
    <x:xf numFmtId="0" fontId="13" fillId="0" borderId="3" xfId="0" applyNumberFormat="1" applyFont="1" applyFill="1" applyBorder="1" applyAlignment="1">
      <x:alignment wrapText="1"/>
    </x:xf>
    <x:xf numFmtId="0" fontId="14" fillId="0" borderId="7" xfId="0" applyNumberFormat="1" applyFont="1" applyFill="1" applyBorder="1" applyAlignment="1">
      <x:alignment horizontal="center" vertical="center" wrapText="1"/>
    </x:xf>
    <x:xf numFmtId="0" fontId="15" fillId="0" borderId="15" xfId="0" applyNumberFormat="1" applyFont="1" applyFill="1" applyBorder="1" applyAlignment="1">
      <x:alignment horizontal="center" vertical="center" wrapText="1"/>
    </x:xf>
    <x:xf numFmtId="0" fontId="15" fillId="0" borderId="7" xfId="0" applyNumberFormat="1" applyFont="1" applyFill="1" applyBorder="1" applyAlignment="1">
      <x:alignment wrapText="1"/>
    </x:xf>
    <x:xf numFmtId="0" fontId="15" fillId="0" borderId="16" xfId="0" applyNumberFormat="1" applyFont="1" applyFill="1" applyBorder="1" applyAlignment="1">
      <x:alignment wrapText="1"/>
    </x:xf>
    <x:xf numFmtId="0" fontId="15" fillId="0" borderId="17" xfId="0" applyNumberFormat="1" applyFont="1" applyFill="1" applyBorder="1" applyAlignment="1">
      <x:alignment wrapText="1"/>
    </x:xf>
    <x:xf numFmtId="169" fontId="0" fillId="0" borderId="13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4">
    <x:cellStyle name="Excel Built-in Comma [0]" xfId="3"/>
    <x:cellStyle name="Hipervínculo" xfId="2"/>
    <x:cellStyle name="Normal" xfId="0"/>
    <x:cellStyle name="Porcentaje" xfId="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B4E5A2"/>
      <x:rgbColor rgb="FF808080"/>
      <x:rgbColor rgb="FF9999FF"/>
      <x:rgbColor rgb="FF993366"/>
      <x:rgbColor rgb="FFFBE3D6"/>
      <x:rgbColor rgb="FFCAEEFB"/>
      <x:rgbColor rgb="FF660066"/>
      <x:rgbColor rgb="FFFF8080"/>
      <x:rgbColor rgb="FF0066CC"/>
      <x:rgbColor rgb="FFD1D1D1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2F3"/>
      <x:rgbColor rgb="FFD9F2D0"/>
      <x:rgbColor rgb="FFFFFF99"/>
      <x:rgbColor rgb="FF99CCFF"/>
      <x:rgbColor rgb="FFE59EDD"/>
      <x:rgbColor rgb="FFF2CFEE"/>
      <x:rgbColor rgb="FFFFC7CE"/>
      <x:rgbColor rgb="FF3366FF"/>
      <x:rgbColor rgb="FF46B1E1"/>
      <x:rgbColor rgb="FF99CC00"/>
      <x:rgbColor rgb="FFFFCC00"/>
      <x:rgbColor rgb="FFFF9900"/>
      <x:rgbColor rgb="FFFF6600"/>
      <x:rgbColor rgb="FF467886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f1bb551fb434d" /><Relationship Type="http://schemas.openxmlformats.org/officeDocument/2006/relationships/theme" Target="/xl/theme/theme1.xml" Id="Ra34fd155a2394d3c" /><Relationship Type="http://schemas.openxmlformats.org/officeDocument/2006/relationships/sharedStrings" Target="/xl/sharedStrings.xml" Id="Ra3b61532fa324b58" /><Relationship Type="http://schemas.openxmlformats.org/officeDocument/2006/relationships/worksheet" Target="/xl/worksheets/sheet1.xml" Id="R7401a3140fe14c6b" /><Relationship Type="http://schemas.openxmlformats.org/officeDocument/2006/relationships/worksheet" Target="/xl/worksheets/sheet2.xml" Id="R5c4d2f8bb03d4430" /><Relationship Type="http://schemas.openxmlformats.org/officeDocument/2006/relationships/worksheet" Target="/xl/worksheets/sheet3.xml" Id="R45cfaf06a55e4009" /><Relationship Type="http://schemas.openxmlformats.org/officeDocument/2006/relationships/worksheet" Target="/xl/worksheets/sheet4.xml" Id="R85f7f6fd26524c0d" /><Relationship Type="http://schemas.openxmlformats.org/officeDocument/2006/relationships/worksheet" Target="/xl/worksheets/sheet5.xml" Id="R5051551bb1744557" /><Relationship Type="http://schemas.openxmlformats.org/officeDocument/2006/relationships/worksheet" Target="/xl/worksheets/sheet6.xml" Id="Raf73caecb2cd4c19" /><Relationship Type="http://schemas.openxmlformats.org/officeDocument/2006/relationships/worksheet" Target="/xl/worksheets/sheet7.xml" Id="Rc70c8389d4ca4cb1" /><Relationship Type="http://schemas.openxmlformats.org/officeDocument/2006/relationships/worksheet" Target="/xl/worksheets/sheet8.xml" Id="R19987dc373ae41d5" /><Relationship Type="http://schemas.openxmlformats.org/officeDocument/2006/relationships/worksheet" Target="/xl/worksheets/sheet9.xml" Id="R9a5b5114bc6844ca" 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CIMAC/paper_fin" TargetMode="External" Id="R9ebea0dded9f4a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82b87467b0894586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419cf0dbaee84fcb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0378e21ecf0b459b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2ed0fb7746eb4827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a7221b5e817840e3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eaaa307ef05948a2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0a40f020730d4cd0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0a507885b6ca4fe2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d4f8e2b960de44d6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690b83c3c5544817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ca48e782b3994917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22b5818365964eba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d1108b69f7ed41f6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f1f42a083d014796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de0db4388cce418f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e7815525d87c4509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d8e0d877f0964661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8cf2a02bc52e4586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b757ccaeea0d4417" /><Relationship Type="http://schemas.openxmlformats.org/officeDocument/2006/relationships/hyperlink" Target="https://asipla.cl/wp-content/uploads/2026/07/Informe-Estadistico-2025-resumen-ejecutivo.pdf" TargetMode="External" Id="Rc1c35a998f78447f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7cda9a7c6df8480f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2173bf94b27d4572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5b1f3f6726d44cda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b9bec1c9757a49ca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141595bda52a413c" /><Relationship Type="http://schemas.openxmlformats.org/officeDocument/2006/relationships/hyperlink" Target="https://asipla.cl/wp-content/uploads/2026/07/Informe-Estadistico-2025-resumen-ejecutivo.pdf" TargetMode="External" Id="R40a3dfbfaa564683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1ccbc259f7b845b9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edba984538734f9c" /><Relationship Type="http://schemas.openxmlformats.org/officeDocument/2006/relationships/hyperlink" Target="https://asipla.cl/wp-content/uploads/2026/07/Informe-Estadistico-2025-resumen-ejecutivo.pdf" TargetMode="External" Id="R4c41a4ec40ee46ff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b5b3f406ba4d4a15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c81db202966d4bcb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8be53e7f9f424244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1e6621edb88e4dfc" /><Relationship Type="http://schemas.openxmlformats.org/officeDocument/2006/relationships/hyperlink" Target="https://asipla.cl/wp-content/uploads/2026/07/Informe-Estadistico-2025-resumen-ejecutivo.pdf" TargetMode="External" Id="R753f34ff65984d08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b9a10def1d7b40a7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efd1ea9c071349a7" /><Relationship Type="http://schemas.openxmlformats.org/officeDocument/2006/relationships/hyperlink" Target="https://asipla.cl/wp-content/uploads/2026/07/Informe-Estadistico-2025-resumen-ejecutivo.pdf" TargetMode="External" Id="Rd8aead8aa0924ec0" /><Relationship Type="http://schemas.openxmlformats.org/officeDocument/2006/relationships/hyperlink" Target="https://datos.bancomundial.org/indicador/SP.POP.TOTL?locations=CL" TargetMode="External" Id="Rc8a64ff96c8948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anir.cl/estadisticas-del-reciclaje-en-chile-2024/" TargetMode="External" Id="Re5b94f6c2c7c4f7b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7a56ac86669247c2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6ffa4ce6a3724c67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06bed3e19b2242fe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e88e7a72df90427e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f89f571572fb4b0c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0111e2b3747e48de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fc1b6997f4f348bc" /><Relationship Type="http://schemas.openxmlformats.org/officeDocument/2006/relationships/hyperlink" Target="../AppData/Local/Packages/5319275A.WhatsAppDesktop_cv1g1gvanyjgm/LocalState/sessions/Users/andresviverosllabres/Documents/ChatGPT/Factoria%20de%20Publicaciones/outputs/PAPER_CIMAC_repo/Users/andresviverosllabres/Documents/ChatGPT/Factoria%20de%20Publicaciones/outputs/PAPER_CIMAC_repo/03_ANALYSIS/processed/Desktop/LEY%20REP/DATOS/ASIPLA/AS" TargetMode="External" Id="Rd8de38292b5440a6" /><Relationship Type="http://schemas.openxmlformats.org/officeDocument/2006/relationships/hyperlink" Target="https://asipla.cl/wp-content/uploads/2026/07/Informe-Estadistico-2025-resumen-ejecutivo.pdf" TargetMode="External" Id="R20d659ea72824f92" /></Relationships>
</file>

<file path=xl/worksheets/sheet1.xml><?xml version="1.0" encoding="utf-8"?>
<x:worksheet xmlns:x="http://schemas.openxmlformats.org/spreadsheetml/2006/main">
  <x:sheetPr>
    <x:tabColor rgb="FFE59EDD"/>
  </x:sheetPr>
  <x:sheetFormatPr baseColWidth="10" defaultColWidth="10.77734375" defaultRowHeight="14.399999618530273"/>
  <x:cols>
    <x:col min="1" max="1" width="17.77734375" customWidth="1"/>
    <x:col min="5" max="5" width="16.44140625" customWidth="1"/>
  </x:cols>
  <x:sheetData>
    <x:row r="1" ht="13.199999809265137" customHeight="1">
      <x:c r="A1" s="160" t="s">
        <x:v>0</x:v>
      </x:c>
      <x:c r="B1" s="160"/>
      <x:c r="C1" s="160"/>
      <x:c r="D1" s="160"/>
      <x:c r="E1" s="160"/>
      <x:c r="F1" s="70"/>
      <x:c r="G1" s="70"/>
      <x:c r="H1" s="70"/>
      <x:c r="I1" s="70"/>
      <x:c r="J1" s="70"/>
      <x:c r="K1" s="70"/>
      <x:c r="L1" s="70"/>
    </x:row>
    <x:row r="2" ht="12.600000381469727" customHeight="1">
      <x:c r="A2" s="71" t="s">
        <x:v>1</x:v>
      </x:c>
      <x:c r="B2" s="71">
        <x:v>2023</x:v>
      </x:c>
      <x:c r="C2" s="71">
        <x:v>2024</x:v>
      </x:c>
      <x:c r="D2" s="71">
        <x:v>2025</x:v>
      </x:c>
    </x:row>
    <x:row r="3" ht="12.600000381469727" customHeight="1">
      <x:c r="A3" s="71" t="s">
        <x:v>2</x:v>
      </x:c>
      <x:c r="B3" s="113">
        <x:v>0.13</x:v>
      </x:c>
      <x:c r="C3" s="113">
        <x:v>0.17</x:v>
      </x:c>
      <x:c r="D3" s="113">
        <x:v>0.22</x:v>
      </x:c>
    </x:row>
    <x:row r="4">
      <x:c r="A4" s="114" t="s">
        <x:v>3</x:v>
      </x:c>
      <x:c r="B4" s="161" t="s">
        <x:v>4</x:v>
      </x:c>
      <x:c r="C4" s="161"/>
      <x:c r="D4" s="161"/>
    </x:row>
  </x:sheetData>
  <x:mergeCells>
    <x:mergeCell ref="A1:E1"/>
    <x:mergeCell ref="B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59EDD"/>
  </x:sheetPr>
  <x:sheetFormatPr baseColWidth="10" defaultColWidth="10.77734375" defaultRowHeight="14.399999618530273"/>
  <x:cols>
    <x:col min="2" max="2" width="17.109375" customWidth="1"/>
    <x:col min="3" max="3" width="17.6640625" customWidth="1"/>
  </x:cols>
  <x:sheetData>
    <x:row r="1" ht="13.199999809265137" customHeight="1">
      <x:c r="A1" s="160" t="s">
        <x:v>5</x:v>
      </x:c>
      <x:c r="B1" s="160"/>
      <x:c r="C1" s="160"/>
      <x:c r="D1" s="160"/>
      <x:c r="E1" s="160"/>
    </x:row>
    <x:row r="2" ht="12.600000381469727" customHeight="1">
      <x:c r="A2" s="71" t="s">
        <x:v>6</x:v>
      </x:c>
      <x:c r="B2" s="71" t="s">
        <x:v>7</x:v>
      </x:c>
      <x:c r="C2" s="71" t="s">
        <x:v>8</x:v>
      </x:c>
      <x:c r="D2" s="7"/>
    </x:row>
    <x:row r="3" ht="12.600000381469727" customHeight="1">
      <x:c r="A3" s="6" t="s">
        <x:v>9</x:v>
      </x:c>
      <x:c r="B3" s="74">
        <x:v>2940</x:v>
      </x:c>
      <x:c r="C3" s="74">
        <x:v>510</x:v>
      </x:c>
      <x:c r="D3" s="95"/>
    </x:row>
    <x:row r="4" ht="12.600000381469727" customHeight="1">
      <x:c r="A4" s="6" t="s">
        <x:v>10</x:v>
      </x:c>
      <x:c r="B4" s="74">
        <x:v>1900</x:v>
      </x:c>
      <x:c r="C4" s="74">
        <x:v>348</x:v>
      </x:c>
    </x:row>
    <x:row r="5" ht="12.600000381469727" customHeight="1">
      <x:c r="A5" s="6" t="s">
        <x:v>11</x:v>
      </x:c>
      <x:c r="B5" s="74">
        <x:v>1955</x:v>
      </x:c>
      <x:c r="C5" s="74">
        <x:v>348</x:v>
      </x:c>
    </x:row>
    <x:row r="6" ht="12.600000381469727" customHeight="1">
      <x:c r="A6" s="6" t="s">
        <x:v>3</x:v>
      </x:c>
      <x:c r="B6" s="157" t="s">
        <x:v>12</x:v>
      </x:c>
      <x:c r="C6" s="157"/>
    </x:row>
  </x:sheetData>
  <x:mergeCells>
    <x:mergeCell ref="A1:E1"/>
    <x:mergeCell ref="B6:C6"/>
  </x:mergeCells>
  <x:hyperlinks>
    <x:hyperlink xmlns:r="http://schemas.openxmlformats.org/officeDocument/2006/relationships" ref="B6" r:id="R9ebea0dded9f4a3e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4E5A2"/>
  </x:sheetPr>
  <x:sheetFormatPr baseColWidth="10" defaultColWidth="10.77734375" defaultRowHeight="15.600000381469727"/>
  <x:cols>
    <x:col min="1" max="1" width="18.33203125" style="5" customWidth="1"/>
    <x:col min="2" max="3" width="12.77734375" hidden="1" customWidth="1"/>
    <x:col min="4" max="4" width="19.44140625" hidden="1" customWidth="1"/>
    <x:col min="5" max="5" width="14.44140625" customWidth="1"/>
    <x:col min="6" max="6" width="19.109375" customWidth="1"/>
    <x:col min="7" max="7" width="20.44140625" customWidth="1"/>
    <x:col min="8" max="8" width="19.77734375" customWidth="1"/>
    <x:col min="9" max="9" width="20" customWidth="1"/>
    <x:col min="10" max="10" width="16.33203125" customWidth="1"/>
    <x:col min="11" max="11" width="25.77734375" customWidth="1"/>
    <x:col min="12" max="12" width="16.33203125" customWidth="1"/>
    <x:col min="13" max="13" width="20" customWidth="1"/>
    <x:col min="14" max="14" width="18.6640625" customWidth="1"/>
    <x:col min="15" max="15" width="37" customWidth="1"/>
  </x:cols>
  <x:sheetData>
    <x:row r="1" s="7" customFormat="1">
      <x:c r="A1" s="6" t="s">
        <x:v>1</x:v>
      </x:c>
      <x:c r="B1" s="6">
        <x:v>2012</x:v>
      </x:c>
      <x:c r="C1" s="6">
        <x:v>2013</x:v>
      </x:c>
      <x:c r="D1" s="6">
        <x:v>2014</x:v>
      </x:c>
      <x:c r="E1" s="6">
        <x:v>2015</x:v>
      </x:c>
      <x:c r="F1" s="6">
        <x:v>2016</x:v>
      </x:c>
      <x:c r="G1" s="6">
        <x:v>2017</x:v>
      </x:c>
      <x:c r="H1" s="6">
        <x:v>2018</x:v>
      </x:c>
      <x:c r="I1" s="6">
        <x:v>2019</x:v>
      </x:c>
      <x:c r="J1" s="6">
        <x:v>2020</x:v>
      </x:c>
      <x:c r="K1" s="6">
        <x:v>2021</x:v>
      </x:c>
      <x:c r="L1" s="6">
        <x:v>2022</x:v>
      </x:c>
      <x:c r="M1" s="6">
        <x:v>2023</x:v>
      </x:c>
      <x:c r="N1" s="6">
        <x:v>2024</x:v>
      </x:c>
      <x:c r="O1" s="6">
        <x:v>2025</x:v>
      </x:c>
    </x:row>
    <x:row r="2" s="11" customFormat="1" ht="27" customHeight="1">
      <x:c r="A2" s="8" t="s">
        <x:v>13</x:v>
      </x:c>
      <x:c r="B2" s="9"/>
      <x:c r="C2" s="9"/>
      <x:c r="D2" s="9">
        <x:v>891000</x:v>
      </x:c>
      <x:c r="E2" s="9">
        <x:v>876000</x:v>
      </x:c>
      <x:c r="F2" s="9">
        <x:v>930000</x:v>
      </x:c>
      <x:c r="G2" s="9">
        <x:v>879000</x:v>
      </x:c>
      <x:c r="H2" s="9">
        <x:v>973000</x:v>
      </x:c>
      <x:c r="I2" s="9">
        <x:v>959000</x:v>
      </x:c>
      <x:c r="J2" s="9">
        <x:v>953000</x:v>
      </x:c>
      <x:c r="K2" s="9">
        <x:v>1334000</x:v>
      </x:c>
      <x:c r="L2" s="9">
        <x:v>1258000</x:v>
      </x:c>
      <x:c r="M2" s="9">
        <x:v>1155000</x:v>
      </x:c>
      <x:c r="N2" s="9">
        <x:v>1238000</x:v>
      </x:c>
      <x:c r="O2" s="10">
        <x:v>1339000</x:v>
      </x:c>
    </x:row>
    <x:row r="3">
      <x:c r="A3" s="12" t="s">
        <x:v>3</x:v>
      </x:c>
      <x:c r="B3" s="13"/>
      <x:c r="C3" s="13"/>
      <x:c r="D3" s="14" t="s">
        <x:v>14</x:v>
      </x:c>
      <x:c r="E3" s="14" t="s">
        <x:v>15</x:v>
      </x:c>
      <x:c r="F3" s="14" t="s">
        <x:v>16</x:v>
      </x:c>
      <x:c r="G3" s="146" t="s">
        <x:v>17</x:v>
      </x:c>
      <x:c r="H3" s="146"/>
      <x:c r="I3" s="14" t="s">
        <x:v>18</x:v>
      </x:c>
      <x:c r="J3" s="146" t="s">
        <x:v>19</x:v>
      </x:c>
      <x:c r="K3" s="146"/>
      <x:c r="L3" s="146"/>
      <x:c r="M3" s="146"/>
      <x:c r="N3" s="146"/>
      <x:c r="O3" s="15" t="s">
        <x:v>20</x:v>
      </x:c>
    </x:row>
    <x:row r="4" ht="40.79999923706055" customHeight="1">
      <x:c r="A4" s="16" t="s">
        <x:v>21</x:v>
      </x:c>
      <x:c r="B4" s="17">
        <x:v>8.5000000000000006E-2</x:v>
      </x:c>
      <x:c r="C4" s="17">
        <x:v>8.5000000000000006E-2</x:v>
      </x:c>
      <x:c r="D4" s="17">
        <x:v>8.5000000000000006E-2</x:v>
      </x:c>
      <x:c r="E4" s="17">
        <x:v>8.5000000000000006E-2</x:v>
      </x:c>
      <x:c r="F4" s="17">
        <x:v>8.5000000000000006E-2</x:v>
      </x:c>
      <x:c r="G4" s="17">
        <x:v>8.5000000000000006E-2</x:v>
      </x:c>
      <x:c r="H4" s="17">
        <x:v>8.5000000000000006E-2</x:v>
      </x:c>
      <x:c r="I4" s="18">
        <x:v>9.0499999999999997E-2</x:v>
      </x:c>
      <x:c r="J4" s="19">
        <x:v>9.6000000000000002E-2</x:v>
      </x:c>
      <x:c r="K4" s="20">
        <x:v>8.6999999999999994E-2</x:v>
      </x:c>
      <x:c r="L4" s="17">
        <x:v>7.8E-2</x:v>
      </x:c>
      <x:c r="M4" s="18">
        <x:v>9.0499999999999997E-2</x:v>
      </x:c>
      <x:c r="N4" s="17">
        <x:v>0.10299999999999999</x:v>
      </x:c>
      <x:c r="O4" s="21">
        <x:v>0.10299999999999999</x:v>
      </x:c>
      <x:c r="Q4" s="22"/>
    </x:row>
    <x:row r="5" ht="13.199999809265137" customHeight="1">
      <x:c r="A5" s="23" t="s">
        <x:v>3</x:v>
      </x:c>
      <x:c r="B5" s="24"/>
      <x:c r="C5" s="24"/>
      <x:c r="D5" s="151" t="s">
        <x:v>22</x:v>
      </x:c>
      <x:c r="E5" s="151"/>
      <x:c r="F5" s="151"/>
      <x:c r="G5" s="151"/>
      <x:c r="H5" s="25" t="s">
        <x:v>23</x:v>
      </x:c>
      <x:c r="I5" s="3" t="s">
        <x:v>22</x:v>
      </x:c>
      <x:c r="J5" s="26" t="s">
        <x:v>24</x:v>
      </x:c>
      <x:c r="K5" s="3" t="s">
        <x:v>22</x:v>
      </x:c>
      <x:c r="L5" s="26" t="s">
        <x:v>25</x:v>
      </x:c>
      <x:c r="M5" s="3" t="s">
        <x:v>22</x:v>
      </x:c>
      <x:c r="N5" s="26" t="s">
        <x:v>26</x:v>
      </x:c>
      <x:c r="O5" s="27" t="s">
        <x:v>27</x:v>
      </x:c>
    </x:row>
    <x:row r="6" ht="40.79999923706055" customHeight="1">
      <x:c r="A6" s="28" t="s">
        <x:v>28</x:v>
      </x:c>
      <x:c r="B6" s="24"/>
      <x:c r="C6" s="24"/>
      <x:c r="D6" s="29" t="n">
        <x:f>+D2*D4</x:f>
        <x:v>75735</x:v>
      </x:c>
      <x:c r="E6" s="29" t="n">
        <x:f>+E2*E4</x:f>
        <x:v>74460</x:v>
      </x:c>
      <x:c r="F6" s="29" t="n">
        <x:f>+F2*F4</x:f>
        <x:v>79050</x:v>
      </x:c>
      <x:c r="G6" s="30" t="n">
        <x:f>+G2*G4</x:f>
        <x:v>74715</x:v>
      </x:c>
      <x:c r="H6" s="31" t="n">
        <x:f>+H4*H2</x:f>
        <x:v>82705</x:v>
      </x:c>
      <x:c r="I6" s="29" t="n">
        <x:f>+I2*I4</x:f>
        <x:v>86789.5</x:v>
      </x:c>
      <x:c r="J6" s="30" t="n">
        <x:f>+J4*J2</x:f>
        <x:v>91488</x:v>
      </x:c>
      <x:c r="K6" s="31" t="n">
        <x:f>+K2*K4</x:f>
        <x:v>116057.99999999999</x:v>
      </x:c>
      <x:c r="L6" s="30" t="n">
        <x:f>+L4*L2</x:f>
        <x:v>98124</x:v>
      </x:c>
      <x:c r="M6" s="30" t="n">
        <x:f>+M2*M4</x:f>
        <x:v>104527.5</x:v>
      </x:c>
      <x:c r="N6" s="30" t="n">
        <x:f>+N4*N2</x:f>
        <x:v>127514</x:v>
      </x:c>
      <x:c r="O6" s="30" t="n">
        <x:f>+O4*O2</x:f>
        <x:v>137917</x:v>
      </x:c>
    </x:row>
    <x:row r="7" ht="46.79999923706055">
      <x:c r="A7" s="32" t="s">
        <x:v>29</x:v>
      </x:c>
      <x:c r="B7" s="33"/>
      <x:c r="C7" s="33"/>
      <x:c r="D7" s="34" t="n">
        <x:f>+D2*0.48</x:f>
        <x:v>427680</x:v>
      </x:c>
      <x:c r="E7" s="34" t="n">
        <x:f>+E2*0.48</x:f>
        <x:v>420480</x:v>
      </x:c>
      <x:c r="F7" s="34" t="n">
        <x:f>+F2*0.48</x:f>
        <x:v>446400</x:v>
      </x:c>
      <x:c r="G7" s="34" t="n">
        <x:f>+G2*0.48</x:f>
        <x:v>421920</x:v>
      </x:c>
      <x:c r="H7" s="34" t="n">
        <x:f>H2*0.48</x:f>
        <x:v>467040</x:v>
      </x:c>
      <x:c r="I7" s="34" t="n">
        <x:f t="shared" ref="I7:O7" si="0">+I2*0.48</x:f>
        <x:v>460320</x:v>
      </x:c>
      <x:c r="J7" s="34">
        <x:f t="shared" si="0"/>
        <x:v>457440</x:v>
      </x:c>
      <x:c r="K7" s="34">
        <x:f t="shared" si="0"/>
        <x:v>640320</x:v>
      </x:c>
      <x:c r="L7" s="34">
        <x:f t="shared" si="0"/>
        <x:v>603840</x:v>
      </x:c>
      <x:c r="M7" s="34">
        <x:f t="shared" si="0"/>
        <x:v>554400</x:v>
      </x:c>
      <x:c r="N7" s="34">
        <x:f t="shared" si="0"/>
        <x:v>594240</x:v>
      </x:c>
      <x:c r="O7" s="34">
        <x:f t="shared" si="0"/>
        <x:v>642720</x:v>
      </x:c>
    </x:row>
    <x:row r="8">
      <x:c r="A8" s="35" t="s">
        <x:v>3</x:v>
      </x:c>
      <x:c r="B8" s="33"/>
      <x:c r="C8" s="33"/>
      <x:c r="D8" s="147" t="s">
        <x:v>30</x:v>
      </x:c>
      <x:c r="E8" s="147"/>
      <x:c r="F8" s="147"/>
      <x:c r="G8" s="147"/>
      <x:c r="H8" s="36" t="s">
        <x:v>31</x:v>
      </x:c>
      <x:c r="I8" s="36" t="s">
        <x:v>16</x:v>
      </x:c>
      <x:c r="J8" s="36" t="s">
        <x:v>32</x:v>
      </x:c>
      <x:c r="K8" s="2" t="s">
        <x:v>30</x:v>
      </x:c>
      <x:c r="L8" s="36" t="s">
        <x:v>33</x:v>
      </x:c>
      <x:c r="M8" s="36" t="s">
        <x:v>18</x:v>
      </x:c>
      <x:c r="N8" s="36" t="s">
        <x:v>34</x:v>
      </x:c>
      <x:c r="O8" s="2" t="s">
        <x:v>30</x:v>
      </x:c>
    </x:row>
    <x:row r="9" ht="40.79999923706055" customHeight="1">
      <x:c r="A9" s="37" t="s">
        <x:v>35</x:v>
      </x:c>
      <x:c r="B9" s="38"/>
      <x:c r="C9" s="38"/>
      <x:c r="D9" s="39">
        <x:v>7.0000000000000007E-2</x:v>
      </x:c>
      <x:c r="E9" s="39">
        <x:v>7.0000000000000007E-2</x:v>
      </x:c>
      <x:c r="F9" s="39">
        <x:v>7.0000000000000007E-2</x:v>
      </x:c>
      <x:c r="G9" s="39">
        <x:v>7.0000000000000007E-2</x:v>
      </x:c>
      <x:c r="H9" s="39">
        <x:v>7.0000000000000007E-2</x:v>
      </x:c>
      <x:c r="I9" s="40">
        <x:v>0.08</x:v>
      </x:c>
      <x:c r="J9" s="40">
        <x:v>0.09</x:v>
      </x:c>
      <x:c r="K9" s="40">
        <x:v>0.1</x:v>
      </x:c>
      <x:c r="L9" s="40">
        <x:v>0.11</x:v>
      </x:c>
      <x:c r="M9" s="40">
        <x:v>0.12</x:v>
      </x:c>
      <x:c r="N9" s="39">
        <x:v>0.13</x:v>
      </x:c>
      <x:c r="O9" s="41">
        <x:v>0.14000000000000001</x:v>
      </x:c>
    </x:row>
    <x:row r="10" ht="13.199999809265137" customHeight="1">
      <x:c r="A10" s="42" t="s">
        <x:v>3</x:v>
      </x:c>
      <x:c r="B10" s="38"/>
      <x:c r="C10" s="38"/>
      <x:c r="D10" s="152" t="s">
        <x:v>22</x:v>
      </x:c>
      <x:c r="E10" s="152"/>
      <x:c r="F10" s="152"/>
      <x:c r="G10" s="152"/>
      <x:c r="H10" s="39" t="s">
        <x:v>36</x:v>
      </x:c>
      <x:c r="I10" s="153" t="s">
        <x:v>22</x:v>
      </x:c>
      <x:c r="J10" s="153"/>
      <x:c r="K10" s="153"/>
      <x:c r="L10" s="153"/>
      <x:c r="M10" s="153"/>
      <x:c r="N10" s="43" t="s">
        <x:v>26</x:v>
      </x:c>
      <x:c r="O10" s="1" t="s">
        <x:v>22</x:v>
      </x:c>
    </x:row>
    <x:row r="11" ht="40.79999923706055" customHeight="1">
      <x:c r="A11" s="37" t="s">
        <x:v>37</x:v>
      </x:c>
      <x:c r="B11" s="38"/>
      <x:c r="C11" s="38"/>
      <x:c r="D11" s="44" t="n">
        <x:f>+D7*D9</x:f>
        <x:v>29937.600000000002</x:v>
      </x:c>
      <x:c r="E11" s="44" t="n">
        <x:f>+E7*E9</x:f>
        <x:v>29433.600000000002</x:v>
      </x:c>
      <x:c r="F11" s="44" t="n">
        <x:f>+F7*F9</x:f>
        <x:v>31248.000000000004</x:v>
      </x:c>
      <x:c r="G11" s="44" t="n">
        <x:f>+G7*G9</x:f>
        <x:v>29534.4</x:v>
      </x:c>
      <x:c r="H11" s="45" t="n">
        <x:f>H7*H9</x:f>
        <x:v>32692.800000000003</x:v>
      </x:c>
      <x:c r="I11" s="45" t="n">
        <x:f t="shared" ref="I11:O11" si="1">+I7*I9</x:f>
        <x:v>36825.6</x:v>
      </x:c>
      <x:c r="J11" s="45">
        <x:f t="shared" si="1"/>
        <x:v>41169.599999999999</x:v>
      </x:c>
      <x:c r="K11" s="45">
        <x:f t="shared" si="1"/>
        <x:v>64032</x:v>
      </x:c>
      <x:c r="L11" s="45">
        <x:f t="shared" si="1"/>
        <x:v>66422.399999999994</x:v>
      </x:c>
      <x:c r="M11" s="45">
        <x:f t="shared" si="1"/>
        <x:v>66528</x:v>
      </x:c>
      <x:c r="N11" s="44">
        <x:f t="shared" si="1"/>
        <x:v>77251.199999999997</x:v>
      </x:c>
      <x:c r="O11" s="44">
        <x:f t="shared" si="1"/>
        <x:v>89980.800000000003</x:v>
      </x:c>
    </x:row>
    <x:row r="12" ht="40.79999923706055" customHeight="1">
      <x:c r="A12" s="46" t="s">
        <x:v>38</x:v>
      </x:c>
      <x:c r="B12" s="13"/>
      <x:c r="C12" s="13"/>
      <x:c r="D12" s="47">
        <x:v>7636</x:v>
      </x:c>
      <x:c r="E12" s="47">
        <x:v>7636</x:v>
      </x:c>
      <x:c r="F12" s="47">
        <x:v>7636</x:v>
      </x:c>
      <x:c r="G12" s="48">
        <x:v>7636</x:v>
      </x:c>
      <x:c r="H12" s="48">
        <x:v>7745</x:v>
      </x:c>
      <x:c r="I12" s="48">
        <x:v>1558</x:v>
      </x:c>
      <x:c r="J12" s="48">
        <x:v>7373</x:v>
      </x:c>
      <x:c r="K12" s="49">
        <x:v>11251</x:v>
      </x:c>
      <x:c r="L12" s="49">
        <x:v>9864</x:v>
      </x:c>
      <x:c r="M12" s="49">
        <x:v>5989</x:v>
      </x:c>
      <x:c r="N12" s="49">
        <x:v>9822</x:v>
      </x:c>
      <x:c r="O12" s="48">
        <x:v>7504</x:v>
      </x:c>
    </x:row>
    <x:row r="13">
      <x:c r="A13" s="12" t="s">
        <x:v>3</x:v>
      </x:c>
      <x:c r="B13" s="13"/>
      <x:c r="C13" s="13"/>
      <x:c r="D13" s="149" t="s">
        <x:v>39</x:v>
      </x:c>
      <x:c r="E13" s="149"/>
      <x:c r="F13" s="149"/>
      <x:c r="G13" s="146" t="s">
        <x:v>40</x:v>
      </x:c>
      <x:c r="H13" s="146"/>
      <x:c r="I13" s="146"/>
      <x:c r="J13" s="4" t="s">
        <x:v>19</x:v>
      </x:c>
      <x:c r="K13" s="146" t="s">
        <x:v>20</x:v>
      </x:c>
      <x:c r="L13" s="146"/>
      <x:c r="M13" s="146"/>
      <x:c r="N13" s="146"/>
      <x:c r="O13" s="146"/>
    </x:row>
    <x:row r="14" ht="46.79999923706055">
      <x:c r="A14" s="16" t="s">
        <x:v>41</x:v>
      </x:c>
      <x:c r="B14" s="50">
        <x:v>726000</x:v>
      </x:c>
      <x:c r="C14" s="50">
        <x:v>714000</x:v>
      </x:c>
      <x:c r="D14" s="50">
        <x:v>675000</x:v>
      </x:c>
      <x:c r="E14" s="50">
        <x:v>730000</x:v>
      </x:c>
      <x:c r="F14" s="50">
        <x:v>737000</x:v>
      </x:c>
      <x:c r="G14" s="50">
        <x:v>744000</x:v>
      </x:c>
      <x:c r="H14" s="50">
        <x:v>732000</x:v>
      </x:c>
      <x:c r="I14" s="50">
        <x:v>694000</x:v>
      </x:c>
      <x:c r="J14" s="50">
        <x:v>681000</x:v>
      </x:c>
      <x:c r="K14" s="51">
        <x:v>794000</x:v>
      </x:c>
      <x:c r="L14" s="51">
        <x:v>681000</x:v>
      </x:c>
      <x:c r="M14" s="51">
        <x:v>616000</x:v>
      </x:c>
      <x:c r="N14" s="51">
        <x:v>669000</x:v>
      </x:c>
      <x:c r="O14" s="51">
        <x:v>700000</x:v>
      </x:c>
    </x:row>
    <x:row r="15">
      <x:c r="A15" s="52" t="s">
        <x:v>3</x:v>
      </x:c>
      <x:c r="B15" s="150" t="s">
        <x:v>42</x:v>
      </x:c>
      <x:c r="C15" s="150"/>
      <x:c r="D15" s="150"/>
      <x:c r="E15" s="150" t="s">
        <x:v>43</x:v>
      </x:c>
      <x:c r="F15" s="150"/>
      <x:c r="G15" s="150"/>
      <x:c r="H15" s="53" t="s">
        <x:v>15</x:v>
      </x:c>
      <x:c r="I15" s="53" t="s">
        <x:v>32</x:v>
      </x:c>
      <x:c r="J15" s="54" t="s">
        <x:v>19</x:v>
      </x:c>
      <x:c r="K15" s="144" t="s">
        <x:v>20</x:v>
      </x:c>
      <x:c r="L15" s="144"/>
      <x:c r="M15" s="144"/>
      <x:c r="N15" s="144"/>
      <x:c r="O15" s="144"/>
    </x:row>
    <x:row r="16" ht="40.79999923706055" customHeight="1">
      <x:c r="A16" s="46" t="s">
        <x:v>44</x:v>
      </x:c>
      <x:c r="B16" s="55"/>
      <x:c r="C16" s="56"/>
      <x:c r="D16" s="56"/>
      <x:c r="E16" s="57">
        <x:v>261000</x:v>
      </x:c>
      <x:c r="F16" s="57">
        <x:v>313000</x:v>
      </x:c>
      <x:c r="G16" s="57">
        <x:v>293000</x:v>
      </x:c>
      <x:c r="H16" s="58">
        <x:v>339000</x:v>
      </x:c>
      <x:c r="I16" s="58">
        <x:v>347000</x:v>
      </x:c>
      <x:c r="J16" s="58">
        <x:v>347000</x:v>
      </x:c>
      <x:c r="K16" s="57">
        <x:v>523000</x:v>
      </x:c>
      <x:c r="L16" s="57">
        <x:v>546000</x:v>
      </x:c>
      <x:c r="M16" s="57">
        <x:v>483000</x:v>
      </x:c>
      <x:c r="N16" s="57">
        <x:v>498000</x:v>
      </x:c>
      <x:c r="O16" s="57">
        <x:v>578000</x:v>
      </x:c>
    </x:row>
    <x:row r="17">
      <x:c r="A17" s="59" t="s">
        <x:v>3</x:v>
      </x:c>
      <x:c r="B17" s="55"/>
      <x:c r="C17" s="56"/>
      <x:c r="D17" s="56"/>
      <x:c r="E17" s="146" t="s">
        <x:v>40</x:v>
      </x:c>
      <x:c r="F17" s="146"/>
      <x:c r="G17" s="146"/>
      <x:c r="H17" s="146"/>
      <x:c r="I17" s="146" t="s">
        <x:v>45</x:v>
      </x:c>
      <x:c r="J17" s="146"/>
      <x:c r="K17" s="146" t="s">
        <x:v>20</x:v>
      </x:c>
      <x:c r="L17" s="146"/>
      <x:c r="M17" s="146"/>
      <x:c r="N17" s="146"/>
      <x:c r="O17" s="146"/>
    </x:row>
    <x:row r="18" ht="67.80000305175781" customHeight="1">
      <x:c r="A18" s="32" t="s">
        <x:v>46</x:v>
      </x:c>
      <x:c r="B18" s="33"/>
      <x:c r="C18" s="33"/>
      <x:c r="D18" s="60">
        <x:v>71000</x:v>
      </x:c>
      <x:c r="E18" s="61">
        <x:v>71000</x:v>
      </x:c>
      <x:c r="F18" s="61">
        <x:v>71000</x:v>
      </x:c>
      <x:c r="G18" s="61">
        <x:v>83208</x:v>
      </x:c>
      <x:c r="H18" s="61">
        <x:v>85000</x:v>
      </x:c>
      <x:c r="I18" s="61">
        <x:v>81000</x:v>
      </x:c>
      <x:c r="J18" s="61">
        <x:v>75145</x:v>
      </x:c>
      <x:c r="K18" s="62">
        <x:v>86000</x:v>
      </x:c>
      <x:c r="L18" s="62">
        <x:v>82000</x:v>
      </x:c>
      <x:c r="M18" s="62">
        <x:v>69000</x:v>
      </x:c>
      <x:c r="N18" s="62">
        <x:v>73000</x:v>
      </x:c>
      <x:c r="O18" s="62">
        <x:v>76000</x:v>
      </x:c>
    </x:row>
    <x:row r="19" ht="13.199999809265137" customHeight="1">
      <x:c r="A19" s="63" t="s">
        <x:v>3</x:v>
      </x:c>
      <x:c r="B19" s="33"/>
      <x:c r="C19" s="33"/>
      <x:c r="D19" s="147" t="s">
        <x:v>47</x:v>
      </x:c>
      <x:c r="E19" s="147"/>
      <x:c r="F19" s="36" t="s">
        <x:v>48</x:v>
      </x:c>
      <x:c r="G19" s="36" t="s">
        <x:v>49</x:v>
      </x:c>
      <x:c r="H19" s="148" t="s">
        <x:v>15</x:v>
      </x:c>
      <x:c r="I19" s="148"/>
      <x:c r="J19" s="36" t="s">
        <x:v>16</x:v>
      </x:c>
      <x:c r="K19" s="148" t="s">
        <x:v>20</x:v>
      </x:c>
      <x:c r="L19" s="148"/>
      <x:c r="M19" s="148"/>
      <x:c r="N19" s="148"/>
      <x:c r="O19" s="148"/>
    </x:row>
    <x:row r="20" ht="40.79999923706055" customHeight="1">
      <x:c r="A20" s="16" t="s">
        <x:v>50</x:v>
      </x:c>
      <x:c r="B20" s="24"/>
      <x:c r="C20" s="24"/>
      <x:c r="D20" s="64"/>
      <x:c r="E20" s="65">
        <x:v>83679</x:v>
      </x:c>
      <x:c r="F20" s="65">
        <x:v>83679</x:v>
      </x:c>
      <x:c r="G20" s="65">
        <x:v>83679</x:v>
      </x:c>
      <x:c r="H20" s="30">
        <x:v>83679</x:v>
      </x:c>
      <x:c r="I20" s="66">
        <x:v>88197.5</x:v>
      </x:c>
      <x:c r="J20" s="29">
        <x:v>92716</x:v>
      </x:c>
      <x:c r="K20" s="30">
        <x:v>97815</x:v>
      </x:c>
      <x:c r="L20" s="30">
        <x:v>106870</x:v>
      </x:c>
      <x:c r="M20" s="30">
        <x:v>114885</x:v>
      </x:c>
      <x:c r="N20" s="30">
        <x:v>127177</x:v>
      </x:c>
      <x:c r="O20" s="30">
        <x:v>139259</x:v>
      </x:c>
    </x:row>
    <x:row r="21" ht="13.199999809265137" customHeight="1">
      <x:c r="A21" s="23" t="s">
        <x:v>3</x:v>
      </x:c>
      <x:c r="B21" s="24"/>
      <x:c r="C21" s="24"/>
      <x:c r="D21" s="64"/>
      <x:c r="E21" s="143" t="s">
        <x:v>51</x:v>
      </x:c>
      <x:c r="F21" s="143"/>
      <x:c r="G21" s="143"/>
      <x:c r="H21" s="54" t="s">
        <x:v>52</x:v>
      </x:c>
      <x:c r="I21" s="67" t="s">
        <x:v>22</x:v>
      </x:c>
      <x:c r="J21" s="26" t="s">
        <x:v>53</x:v>
      </x:c>
      <x:c r="K21" s="144" t="s">
        <x:v>20</x:v>
      </x:c>
      <x:c r="L21" s="144"/>
      <x:c r="M21" s="144"/>
      <x:c r="N21" s="144"/>
      <x:c r="O21" s="144"/>
    </x:row>
    <x:row r="22" ht="27" customHeight="1">
      <x:c r="A22" s="37" t="s">
        <x:v>54</x:v>
      </x:c>
      <x:c r="B22" s="45">
        <x:v>17519119</x:v>
      </x:c>
      <x:c r="C22" s="45">
        <x:v>17687006</x:v>
      </x:c>
      <x:c r="D22" s="45">
        <x:v>17864195</x:v>
      </x:c>
      <x:c r="E22" s="45">
        <x:v>18047625</x:v>
      </x:c>
      <x:c r="F22" s="45">
        <x:v>18267221</x:v>
      </x:c>
      <x:c r="G22" s="45">
        <x:v>18558868</x:v>
      </x:c>
      <x:c r="H22" s="45">
        <x:v>18893191</x:v>
      </x:c>
      <x:c r="I22" s="45">
        <x:v>19197744</x:v>
      </x:c>
      <x:c r="J22" s="45">
        <x:v>19370624</x:v>
      </x:c>
      <x:c r="K22" s="68">
        <x:v>19456334</x:v>
      </x:c>
      <x:c r="L22" s="68">
        <x:v>19553036</x:v>
      </x:c>
      <x:c r="M22" s="68">
        <x:v>19658835</x:v>
      </x:c>
      <x:c r="N22" s="68">
        <x:v>19764771</x:v>
      </x:c>
      <x:c r="O22" s="45">
        <x:v>19859921</x:v>
      </x:c>
    </x:row>
    <x:row r="23">
      <x:c r="A23" s="69" t="s">
        <x:v>3</x:v>
      </x:c>
      <x:c r="B23" s="145" t="s">
        <x:v>55</x:v>
      </x:c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5"/>
      <x:c r="M23" s="145"/>
      <x:c r="N23" s="145"/>
      <x:c r="O23" s="145"/>
    </x:row>
  </x:sheetData>
  <x:mergeCells>
    <x:mergeCell ref="G3:H3"/>
    <x:mergeCell ref="J3:N3"/>
    <x:mergeCell ref="D5:G5"/>
    <x:mergeCell ref="D8:G8"/>
    <x:mergeCell ref="D10:G10"/>
    <x:mergeCell ref="I10:M10"/>
    <x:mergeCell ref="D13:F13"/>
    <x:mergeCell ref="G13:I13"/>
    <x:mergeCell ref="K13:O13"/>
    <x:mergeCell ref="B15:D15"/>
    <x:mergeCell ref="E15:G15"/>
    <x:mergeCell ref="K15:O15"/>
    <x:mergeCell ref="E21:G21"/>
    <x:mergeCell ref="K21:O21"/>
    <x:mergeCell ref="B23:O23"/>
    <x:mergeCell ref="E17:H17"/>
    <x:mergeCell ref="I17:J17"/>
    <x:mergeCell ref="K17:O17"/>
    <x:mergeCell ref="D19:E19"/>
    <x:mergeCell ref="H19:I19"/>
    <x:mergeCell ref="K19:O19"/>
  </x:mergeCells>
  <x:hyperlinks>
    <x:hyperlink xmlns:r="http://schemas.openxmlformats.org/officeDocument/2006/relationships" ref="D3" r:id="R82b87467b0894586"/>
    <x:hyperlink xmlns:r="http://schemas.openxmlformats.org/officeDocument/2006/relationships" ref="E3" r:id="R419cf0dbaee84fcb"/>
    <x:hyperlink xmlns:r="http://schemas.openxmlformats.org/officeDocument/2006/relationships" ref="F3" r:id="R0378e21ecf0b459b"/>
    <x:hyperlink xmlns:r="http://schemas.openxmlformats.org/officeDocument/2006/relationships" ref="G3" r:id="R2ed0fb7746eb4827"/>
    <x:hyperlink xmlns:r="http://schemas.openxmlformats.org/officeDocument/2006/relationships" ref="I3" r:id="Ra7221b5e817840e3"/>
    <x:hyperlink xmlns:r="http://schemas.openxmlformats.org/officeDocument/2006/relationships" ref="J3" r:id="Reaaa307ef05948a2"/>
    <x:hyperlink xmlns:r="http://schemas.openxmlformats.org/officeDocument/2006/relationships" ref="H5" r:id="R0a40f020730d4cd0"/>
    <x:hyperlink xmlns:r="http://schemas.openxmlformats.org/officeDocument/2006/relationships" ref="J5" r:id="R0a507885b6ca4fe2"/>
    <x:hyperlink xmlns:r="http://schemas.openxmlformats.org/officeDocument/2006/relationships" ref="L5" r:id="Rd4f8e2b960de44d6"/>
    <x:hyperlink xmlns:r="http://schemas.openxmlformats.org/officeDocument/2006/relationships" ref="N5" r:id="R690b83c3c5544817"/>
    <x:hyperlink xmlns:r="http://schemas.openxmlformats.org/officeDocument/2006/relationships" ref="H8" r:id="Rca48e782b3994917"/>
    <x:hyperlink xmlns:r="http://schemas.openxmlformats.org/officeDocument/2006/relationships" ref="I8" r:id="R22b5818365964eba"/>
    <x:hyperlink xmlns:r="http://schemas.openxmlformats.org/officeDocument/2006/relationships" ref="J8" r:id="Rd1108b69f7ed41f6"/>
    <x:hyperlink xmlns:r="http://schemas.openxmlformats.org/officeDocument/2006/relationships" ref="L8" r:id="Rf1f42a083d014796"/>
    <x:hyperlink xmlns:r="http://schemas.openxmlformats.org/officeDocument/2006/relationships" ref="M8" r:id="Rde0db4388cce418f"/>
    <x:hyperlink xmlns:r="http://schemas.openxmlformats.org/officeDocument/2006/relationships" ref="N8" r:id="Re7815525d87c4509"/>
    <x:hyperlink xmlns:r="http://schemas.openxmlformats.org/officeDocument/2006/relationships" ref="N10" r:id="Rd8e0d877f0964661"/>
    <x:hyperlink xmlns:r="http://schemas.openxmlformats.org/officeDocument/2006/relationships" ref="G13" r:id="R8cf2a02bc52e4586"/>
    <x:hyperlink xmlns:r="http://schemas.openxmlformats.org/officeDocument/2006/relationships" ref="J13" r:id="Rb757ccaeea0d4417"/>
    <x:hyperlink xmlns:r="http://schemas.openxmlformats.org/officeDocument/2006/relationships" ref="K13" r:id="Rc1c35a998f78447f"/>
    <x:hyperlink xmlns:r="http://schemas.openxmlformats.org/officeDocument/2006/relationships" ref="B15" r:id="R7cda9a7c6df8480f"/>
    <x:hyperlink xmlns:r="http://schemas.openxmlformats.org/officeDocument/2006/relationships" ref="E15" r:id="R2173bf94b27d4572"/>
    <x:hyperlink xmlns:r="http://schemas.openxmlformats.org/officeDocument/2006/relationships" ref="H15" r:id="R5b1f3f6726d44cda"/>
    <x:hyperlink xmlns:r="http://schemas.openxmlformats.org/officeDocument/2006/relationships" ref="I15" r:id="Rb9bec1c9757a49ca"/>
    <x:hyperlink xmlns:r="http://schemas.openxmlformats.org/officeDocument/2006/relationships" ref="J15" r:id="R141595bda52a413c"/>
    <x:hyperlink xmlns:r="http://schemas.openxmlformats.org/officeDocument/2006/relationships" ref="K15" r:id="R40a3dfbfaa564683"/>
    <x:hyperlink xmlns:r="http://schemas.openxmlformats.org/officeDocument/2006/relationships" ref="E17" r:id="R1ccbc259f7b845b9"/>
    <x:hyperlink xmlns:r="http://schemas.openxmlformats.org/officeDocument/2006/relationships" ref="I17" r:id="Redba984538734f9c"/>
    <x:hyperlink xmlns:r="http://schemas.openxmlformats.org/officeDocument/2006/relationships" ref="K17" r:id="R4c41a4ec40ee46ff"/>
    <x:hyperlink xmlns:r="http://schemas.openxmlformats.org/officeDocument/2006/relationships" ref="F19" r:id="Rb5b3f406ba4d4a15"/>
    <x:hyperlink xmlns:r="http://schemas.openxmlformats.org/officeDocument/2006/relationships" ref="G19" r:id="Rc81db202966d4bcb"/>
    <x:hyperlink xmlns:r="http://schemas.openxmlformats.org/officeDocument/2006/relationships" ref="H19" r:id="R8be53e7f9f424244"/>
    <x:hyperlink xmlns:r="http://schemas.openxmlformats.org/officeDocument/2006/relationships" ref="J19" r:id="R1e6621edb88e4dfc"/>
    <x:hyperlink xmlns:r="http://schemas.openxmlformats.org/officeDocument/2006/relationships" ref="K19" r:id="R753f34ff65984d08"/>
    <x:hyperlink xmlns:r="http://schemas.openxmlformats.org/officeDocument/2006/relationships" ref="H21" r:id="Rb9a10def1d7b40a7"/>
    <x:hyperlink xmlns:r="http://schemas.openxmlformats.org/officeDocument/2006/relationships" ref="J21" r:id="Refd1ea9c071349a7"/>
    <x:hyperlink xmlns:r="http://schemas.openxmlformats.org/officeDocument/2006/relationships" ref="K21" r:id="Rd8aead8aa0924ec0"/>
    <x:hyperlink xmlns:r="http://schemas.openxmlformats.org/officeDocument/2006/relationships" ref="B23" r:id="Rc8a64ff96c8948e3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4E5A2"/>
  </x:sheetPr>
  <x:sheetFormatPr baseColWidth="10" defaultColWidth="10.77734375" defaultRowHeight="14.399999618530273"/>
  <x:cols>
    <x:col min="2" max="2" width="20.33203125" customWidth="1"/>
    <x:col min="3" max="3" width="14.44140625" customWidth="1"/>
    <x:col min="9" max="9" width="14.44140625" customWidth="1"/>
    <x:col min="10" max="10" width="19" customWidth="1"/>
    <x:col min="11" max="11" width="16.109375" customWidth="1"/>
    <x:col min="12" max="12" width="36.33203125" customWidth="1"/>
  </x:cols>
  <x:sheetData>
    <x:row r="1" ht="13.199999809265137" customHeight="1">
      <x:c r="A1" s="154" t="s">
        <x:v>56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54"/>
      <x:c r="M1" s="70"/>
      <x:c r="N1" s="70"/>
    </x:row>
    <x:row r="2" s="7" customFormat="1" ht="12" customHeight="1">
      <x:c r="A2" s="71" t="s">
        <x:v>1</x:v>
      </x:c>
      <x:c r="B2" s="71">
        <x:v>2015</x:v>
      </x:c>
      <x:c r="C2" s="71">
        <x:v>2016</x:v>
      </x:c>
      <x:c r="D2" s="71">
        <x:v>2017</x:v>
      </x:c>
      <x:c r="E2" s="71">
        <x:v>2018</x:v>
      </x:c>
      <x:c r="F2" s="71">
        <x:v>2019</x:v>
      </x:c>
      <x:c r="G2" s="71">
        <x:v>2020</x:v>
      </x:c>
      <x:c r="H2" s="71">
        <x:v>2021</x:v>
      </x:c>
      <x:c r="I2" s="71">
        <x:v>2022</x:v>
      </x:c>
      <x:c r="J2" s="71">
        <x:v>2023</x:v>
      </x:c>
      <x:c r="K2" s="71">
        <x:v>2024</x:v>
      </x:c>
      <x:c r="L2" s="71">
        <x:v>2025</x:v>
      </x:c>
      <x:c r="N2" s="158" t="s">
        <x:v>57</x:v>
      </x:c>
      <x:c r="O2" s="158"/>
      <x:c r="P2" s="158"/>
      <x:c r="Q2" s="158"/>
      <x:c r="R2" s="158"/>
      <x:c r="S2" s="158"/>
      <x:c r="T2" s="72"/>
    </x:row>
    <x:row r="3" ht="12.600000381469727" customHeight="1">
      <x:c r="A3" s="6" t="s">
        <x:v>9</x:v>
      </x:c>
      <x:c r="B3" s="73">
        <x:v>12294</x:v>
      </x:c>
      <x:c r="C3" s="74">
        <x:v>12294</x:v>
      </x:c>
      <x:c r="D3" s="74">
        <x:v>12981</x:v>
      </x:c>
      <x:c r="E3" s="74">
        <x:v>15217</x:v>
      </x:c>
      <x:c r="F3" s="74">
        <x:v>17587</x:v>
      </x:c>
      <x:c r="G3" s="74">
        <x:v>19142</x:v>
      </x:c>
      <x:c r="H3" s="74">
        <x:v>24405</x:v>
      </x:c>
      <x:c r="I3" s="74">
        <x:v>22014</x:v>
      </x:c>
      <x:c r="J3" s="74">
        <x:v>22771</x:v>
      </x:c>
      <x:c r="K3" s="74">
        <x:v>20536</x:v>
      </x:c>
      <x:c r="L3" s="73">
        <x:v>20536</x:v>
      </x:c>
      <x:c r="N3" s="158"/>
      <x:c r="O3" s="158"/>
      <x:c r="P3" s="158"/>
      <x:c r="Q3" s="158"/>
      <x:c r="R3" s="158"/>
      <x:c r="S3" s="158"/>
    </x:row>
    <x:row r="4" ht="12.600000381469727" customHeight="1">
      <x:c r="A4" s="6" t="s">
        <x:v>10</x:v>
      </x:c>
      <x:c r="B4" s="73">
        <x:v>8235</x:v>
      </x:c>
      <x:c r="C4" s="74">
        <x:v>8235</x:v>
      </x:c>
      <x:c r="D4" s="74">
        <x:v>8400</x:v>
      </x:c>
      <x:c r="E4" s="74">
        <x:v>835</x:v>
      </x:c>
      <x:c r="F4" s="74">
        <x:v>793</x:v>
      </x:c>
      <x:c r="G4" s="74">
        <x:v>17785</x:v>
      </x:c>
      <x:c r="H4" s="74">
        <x:v>20356</x:v>
      </x:c>
      <x:c r="I4" s="74">
        <x:v>17536</x:v>
      </x:c>
      <x:c r="J4" s="74">
        <x:v>19155</x:v>
      </x:c>
      <x:c r="K4" s="74">
        <x:v>20436</x:v>
      </x:c>
      <x:c r="L4" s="73">
        <x:v>20436</x:v>
      </x:c>
      <x:c r="N4" s="158"/>
      <x:c r="O4" s="158"/>
      <x:c r="P4" s="158"/>
      <x:c r="Q4" s="158"/>
      <x:c r="R4" s="158"/>
      <x:c r="S4" s="158"/>
    </x:row>
    <x:row r="5" ht="12.600000381469727" customHeight="1">
      <x:c r="A5" s="6" t="s">
        <x:v>11</x:v>
      </x:c>
      <x:c r="B5" s="73">
        <x:v>40941</x:v>
      </x:c>
      <x:c r="C5" s="74">
        <x:v>40941</x:v>
      </x:c>
      <x:c r="D5" s="74">
        <x:v>41760</x:v>
      </x:c>
      <x:c r="E5" s="74">
        <x:v>39477</x:v>
      </x:c>
      <x:c r="F5" s="74">
        <x:v>37783</x:v>
      </x:c>
      <x:c r="G5" s="74">
        <x:v>38933</x:v>
      </x:c>
      <x:c r="H5" s="74">
        <x:v>45690</x:v>
      </x:c>
      <x:c r="I5" s="74">
        <x:v>46089</x:v>
      </x:c>
      <x:c r="J5" s="74">
        <x:v>54433</x:v>
      </x:c>
      <x:c r="K5" s="74">
        <x:v>57969</x:v>
      </x:c>
      <x:c r="L5" s="73">
        <x:v>57969</x:v>
      </x:c>
      <x:c r="N5" s="158"/>
      <x:c r="O5" s="158"/>
      <x:c r="P5" s="158"/>
      <x:c r="Q5" s="158"/>
      <x:c r="R5" s="158"/>
      <x:c r="S5" s="158"/>
    </x:row>
    <x:row r="6" s="77" customFormat="1" ht="25.200000762939453" customHeight="1">
      <x:c r="A6" s="75" t="s">
        <x:v>3</x:v>
      </x:c>
      <x:c r="B6" s="76" t="s">
        <x:v>47</x:v>
      </x:c>
      <x:c r="C6" s="159" t="s">
        <x:v>58</x:v>
      </x:c>
      <x:c r="D6" s="159"/>
      <x:c r="E6" s="159"/>
      <x:c r="F6" s="159"/>
      <x:c r="G6" s="159"/>
      <x:c r="H6" s="159"/>
      <x:c r="I6" s="159"/>
      <x:c r="J6" s="159"/>
      <x:c r="K6" s="159"/>
      <x:c r="L6" s="76" t="s">
        <x:v>27</x:v>
      </x:c>
    </x:row>
    <x:row r="9" ht="12.600000381469727" customHeight="1"/>
    <x:row r="10" ht="13.199999809265137" customHeight="1">
      <x:c r="A10" s="154" t="s">
        <x:v>59</x:v>
      </x:c>
      <x:c r="B10" s="154"/>
      <x:c r="C10" s="154"/>
      <x:c r="D10" s="154"/>
      <x:c r="E10" s="154"/>
      <x:c r="F10" s="154"/>
      <x:c r="G10" s="154"/>
      <x:c r="H10" s="154"/>
      <x:c r="I10" s="154"/>
      <x:c r="J10" s="154"/>
      <x:c r="K10" s="154"/>
      <x:c r="L10" s="154"/>
    </x:row>
    <x:row r="11" s="7" customFormat="1" ht="12.600000381469727" customHeight="1">
      <x:c r="A11" s="71" t="s">
        <x:v>1</x:v>
      </x:c>
      <x:c r="B11" s="71">
        <x:v>2015</x:v>
      </x:c>
      <x:c r="C11" s="71">
        <x:v>2016</x:v>
      </x:c>
      <x:c r="D11" s="71">
        <x:v>2017</x:v>
      </x:c>
      <x:c r="E11" s="71">
        <x:v>2018</x:v>
      </x:c>
      <x:c r="F11" s="71">
        <x:v>2019</x:v>
      </x:c>
      <x:c r="G11" s="71">
        <x:v>2020</x:v>
      </x:c>
      <x:c r="H11" s="71">
        <x:v>2021</x:v>
      </x:c>
      <x:c r="I11" s="71">
        <x:v>2022</x:v>
      </x:c>
      <x:c r="J11" s="71">
        <x:v>2023</x:v>
      </x:c>
      <x:c r="K11" s="71">
        <x:v>2024</x:v>
      </x:c>
      <x:c r="L11" s="71">
        <x:v>2025</x:v>
      </x:c>
    </x:row>
    <x:row r="12" ht="12.600000381469727" customHeight="1">
      <x:c r="A12" s="6" t="s">
        <x:v>9</x:v>
      </x:c>
      <x:c r="B12" s="74">
        <x:v>80969</x:v>
      </x:c>
      <x:c r="C12" s="74">
        <x:v>96540</x:v>
      </x:c>
      <x:c r="D12" s="74">
        <x:v>86551</x:v>
      </x:c>
      <x:c r="E12" s="78">
        <x:v>94548</x:v>
      </x:c>
      <x:c r="F12" s="78">
        <x:v>97348</x:v>
      </x:c>
      <x:c r="G12" s="78">
        <x:v>101801</x:v>
      </x:c>
      <x:c r="H12" s="78">
        <x:v>131218</x:v>
      </x:c>
      <x:c r="I12" s="74" t="n">
        <x:f>17.1%*Actualizado!L2</x:f>
        <x:v>215118.00000000003</x:v>
      </x:c>
      <x:c r="J12" s="79" t="n">
        <x:f>17.1%*Actualizado!M2</x:f>
        <x:v>197505.00000000003</x:v>
      </x:c>
      <x:c r="K12" s="80" t="n">
        <x:f>12%*Actualizado!N2</x:f>
        <x:v>148560</x:v>
      </x:c>
      <x:c r="L12" s="81" t="n">
        <x:f>12%*Actualizado!O2</x:f>
        <x:v>160680</x:v>
      </x:c>
    </x:row>
    <x:row r="13" ht="12.600000381469727" customHeight="1">
      <x:c r="A13" s="6" t="s">
        <x:v>10</x:v>
      </x:c>
      <x:c r="B13" s="74">
        <x:v>94966</x:v>
      </x:c>
      <x:c r="C13" s="74">
        <x:v>77782</x:v>
      </x:c>
      <x:c r="D13" s="74">
        <x:v>82943</x:v>
      </x:c>
      <x:c r="E13" s="78">
        <x:v>93848</x:v>
      </x:c>
      <x:c r="F13" s="78">
        <x:v>88553</x:v>
      </x:c>
      <x:c r="G13" s="78">
        <x:v>57681</x:v>
      </x:c>
      <x:c r="H13" s="78">
        <x:v>114887</x:v>
      </x:c>
      <x:c r="I13" s="74" t="n">
        <x:f>+Actualizado!L2*10%</x:f>
        <x:v>125800</x:v>
      </x:c>
      <x:c r="J13" s="79" t="n">
        <x:f>+Actualizado!M2*10%</x:f>
        <x:v>115500</x:v>
      </x:c>
      <x:c r="K13" s="80" t="n">
        <x:f>11%*Actualizado!N2</x:f>
        <x:v>136180</x:v>
      </x:c>
      <x:c r="L13" s="81" t="n">
        <x:f>11%*Actualizado!O2</x:f>
        <x:v>147290</x:v>
      </x:c>
    </x:row>
    <x:row r="14" ht="12.600000381469727" customHeight="1">
      <x:c r="A14" s="6" t="s">
        <x:v>11</x:v>
      </x:c>
      <x:c r="B14" s="74">
        <x:v>326828</x:v>
      </x:c>
      <x:c r="C14" s="74">
        <x:v>320001</x:v>
      </x:c>
      <x:c r="D14" s="74">
        <x:v>321177</x:v>
      </x:c>
      <x:c r="E14" s="78">
        <x:v>351420</x:v>
      </x:c>
      <x:c r="F14" s="78">
        <x:v>335196</x:v>
      </x:c>
      <x:c r="G14" s="78">
        <x:v>350930</x:v>
      </x:c>
      <x:c r="H14" s="78">
        <x:v>419315</x:v>
      </x:c>
      <x:c r="I14" s="74" t="n">
        <x:f>+Actualizado!L2*34.8%</x:f>
        <x:v>437783.99999999994</x:v>
      </x:c>
      <x:c r="J14" s="79" t="n">
        <x:f>+Actualizado!M2*34.8%</x:f>
        <x:v>401940</x:v>
      </x:c>
      <x:c r="K14" s="80" t="n">
        <x:f>21%*Actualizado!N2+22%*Actualizado!N2</x:f>
        <x:v>532340</x:v>
      </x:c>
      <x:c r="L14" s="81" t="n">
        <x:f>21%*Actualizado!O2+22%*Actualizado!O2</x:f>
        <x:v>575770</x:v>
      </x:c>
    </x:row>
    <x:row r="15" ht="12.600000381469727" customHeight="1">
      <x:c r="A15" s="75" t="s">
        <x:v>3</x:v>
      </x:c>
      <x:c r="B15" s="157" t="s">
        <x:v>40</x:v>
      </x:c>
      <x:c r="C15" s="157"/>
      <x:c r="D15" s="157" t="s">
        <x:v>32</x:v>
      </x:c>
      <x:c r="E15" s="157"/>
      <x:c r="F15" s="157"/>
      <x:c r="G15" s="157"/>
      <x:c r="H15" s="157"/>
      <x:c r="I15" s="82" t="s">
        <x:v>33</x:v>
      </x:c>
      <x:c r="J15" s="83" t="s">
        <x:v>60</x:v>
      </x:c>
      <x:c r="K15" s="84" t="s">
        <x:v>61</x:v>
      </x:c>
      <x:c r="L15" s="83" t="s">
        <x:v>62</x:v>
      </x:c>
    </x:row>
    <x:row r="18" ht="12.600000381469727" customHeight="1"/>
    <x:row r="19" ht="13.199999809265137" customHeight="1">
      <x:c r="A19" s="154" t="s">
        <x:v>63</x:v>
      </x:c>
      <x:c r="B19" s="154"/>
      <x:c r="C19" s="154"/>
      <x:c r="D19" s="154"/>
      <x:c r="E19" s="154"/>
      <x:c r="F19" s="70"/>
      <x:c r="G19" s="70"/>
      <x:c r="H19" s="70"/>
      <x:c r="I19" s="70"/>
      <x:c r="J19" s="70"/>
      <x:c r="K19" s="70"/>
      <x:c r="L19" s="70"/>
      <x:c r="M19" s="70"/>
      <x:c r="N19" s="70"/>
    </x:row>
    <x:row r="20" ht="12.600000381469727" customHeight="1">
      <x:c r="A20" s="6" t="s">
        <x:v>1</x:v>
      </x:c>
      <x:c r="B20" s="6">
        <x:v>2015</x:v>
      </x:c>
      <x:c r="C20" s="6">
        <x:v>2016</x:v>
      </x:c>
      <x:c r="D20" s="6">
        <x:v>2017</x:v>
      </x:c>
      <x:c r="E20" s="6">
        <x:v>2018</x:v>
      </x:c>
      <x:c r="F20" s="6">
        <x:v>2019</x:v>
      </x:c>
      <x:c r="G20" s="6">
        <x:v>2020</x:v>
      </x:c>
      <x:c r="H20" s="6">
        <x:v>2021</x:v>
      </x:c>
      <x:c r="I20" s="6">
        <x:v>2022</x:v>
      </x:c>
      <x:c r="J20" s="6">
        <x:v>2023</x:v>
      </x:c>
      <x:c r="K20" s="6">
        <x:v>2024</x:v>
      </x:c>
      <x:c r="L20" s="6">
        <x:v>2025</x:v>
      </x:c>
      <x:c r="P20" s="85"/>
    </x:row>
    <x:row r="21" ht="12.600000381469727" customHeight="1">
      <x:c r="A21" s="6" t="s">
        <x:v>9</x:v>
      </x:c>
      <x:c r="B21" s="86" t="n">
        <x:f>13%*Actualizado!E14</x:f>
        <x:v>94900</x:v>
      </x:c>
      <x:c r="C21" s="87" t="n">
        <x:f>13%*Actualizado!F14</x:f>
        <x:v>95810</x:v>
      </x:c>
      <x:c r="D21" s="87" t="n">
        <x:f>15%*Actualizado!G14</x:f>
        <x:v>111600</x:v>
      </x:c>
      <x:c r="E21" s="87" t="n">
        <x:f>0.15*Actualizado!H14</x:f>
        <x:v>109800</x:v>
      </x:c>
      <x:c r="F21" s="87" t="n">
        <x:f>0.15*Actualizado!I14</x:f>
        <x:v>104100</x:v>
      </x:c>
      <x:c r="G21" s="87" t="n">
        <x:f>0.15*Actualizado!J14</x:f>
        <x:v>102150</x:v>
      </x:c>
      <x:c r="H21" s="87" t="n">
        <x:f>0.15*Actualizado!K14</x:f>
        <x:v>119100</x:v>
      </x:c>
      <x:c r="I21" s="88" t="n">
        <x:f>15%*Actualizado!L14</x:f>
        <x:v>102150</x:v>
      </x:c>
      <x:c r="J21" s="89" t="n">
        <x:f>15%*Actualizado!M14</x:f>
        <x:v>92400</x:v>
      </x:c>
      <x:c r="K21" s="89" t="n">
        <x:f>14%*Actualizado!N14</x:f>
        <x:v>93660.00000000001</x:v>
      </x:c>
      <x:c r="L21" s="89" t="n">
        <x:f>K21*108%</x:f>
        <x:v>101152.80000000002</x:v>
      </x:c>
      <x:c r="M21" s="90"/>
    </x:row>
    <x:row r="22" ht="12.600000381469727" customHeight="1">
      <x:c r="A22" s="6" t="s">
        <x:v>10</x:v>
      </x:c>
      <x:c r="B22" s="91" t="n">
        <x:f>5%*Actualizado!E14</x:f>
        <x:v>36500</x:v>
      </x:c>
      <x:c r="C22" s="92" t="n">
        <x:f>12000+40000</x:f>
        <x:v>52000</x:v>
      </x:c>
      <x:c r="D22" s="92" t="n">
        <x:f>13000+48000</x:f>
        <x:v>61000</x:v>
      </x:c>
      <x:c r="E22" s="92" t="n">
        <x:f>0.079591*Actualizado!H14</x:f>
        <x:v>58260.611999999994</x:v>
      </x:c>
      <x:c r="F22" s="92" t="n">
        <x:f>0.077194*Actualizado!I14</x:f>
        <x:v>53572.636</x:v>
      </x:c>
      <x:c r="G22" s="92" t="n">
        <x:f>0.074796*Actualizado!J14</x:f>
        <x:v>50936.076</x:v>
      </x:c>
      <x:c r="H22" s="92" t="n">
        <x:f>0.072398*Actualizado!K14</x:f>
        <x:v>57484.012</x:v>
      </x:c>
      <x:c r="I22" s="92" t="n">
        <x:f>7%*Actualizado!L14</x:f>
        <x:v>47670.00000000001</x:v>
      </x:c>
      <x:c r="J22" s="93">
        <x:v>62000</x:v>
      </x:c>
      <x:c r="K22" s="93">
        <x:v>64000</x:v>
      </x:c>
      <x:c r="L22" s="93" t="n">
        <x:f>11%*Actualizado!O14</x:f>
        <x:v>77000</x:v>
      </x:c>
      <x:c r="M22" s="90"/>
      <x:c r="N22" s="94"/>
      <x:c r="P22" s="95"/>
    </x:row>
    <x:row r="23" ht="12.600000381469727" customHeight="1">
      <x:c r="A23" s="6" t="s">
        <x:v>64</x:v>
      </x:c>
      <x:c r="B23" s="86" t="n">
        <x:f>20%*Actualizado!E14</x:f>
        <x:v>146000</x:v>
      </x:c>
      <x:c r="C23" s="96">
        <x:v>146000</x:v>
      </x:c>
      <x:c r="D23" s="88">
        <x:v>143000</x:v>
      </x:c>
      <x:c r="E23" s="88" t="n">
        <x:f>0.193763*Actualizado!H14</x:f>
        <x:v>141834.516</x:v>
      </x:c>
      <x:c r="F23" s="88" t="n">
        <x:f>0.195323*Actualizado!I14</x:f>
        <x:v>135554.162</x:v>
      </x:c>
      <x:c r="G23" s="88" t="n">
        <x:f>0.196882*Actualizado!J14</x:f>
        <x:v>134076.642</x:v>
      </x:c>
      <x:c r="H23" s="88" t="n">
        <x:f>0.198441*Actualizado!K14</x:f>
        <x:v>157562.154</x:v>
      </x:c>
      <x:c r="I23" s="88" t="n">
        <x:f>20%*Actualizado!L14</x:f>
        <x:v>136200</x:v>
      </x:c>
      <x:c r="J23" s="89" t="n">
        <x:f>24%*Actualizado!M14</x:f>
        <x:v>147840</x:v>
      </x:c>
      <x:c r="K23" s="89" t="n">
        <x:f>25%*Actualizado!N14</x:f>
        <x:v>167250</x:v>
      </x:c>
      <x:c r="L23" s="89" t="n">
        <x:f>25%*Actualizado!O14</x:f>
        <x:v>175000</x:v>
      </x:c>
      <x:c r="M23" s="95"/>
    </x:row>
    <x:row r="24" ht="12.600000381469727" customHeight="1">
      <x:c r="A24" s="6" t="s">
        <x:v>65</x:v>
      </x:c>
      <x:c r="B24" s="86" t="n">
        <x:f>13%*Actualizado!E14</x:f>
        <x:v>94900</x:v>
      </x:c>
      <x:c r="C24" s="96">
        <x:v>97000</x:v>
      </x:c>
      <x:c r="D24" s="88">
        <x:v>101000</x:v>
      </x:c>
      <x:c r="E24" s="88" t="n">
        <x:f>0.148602*Actualizado!H14</x:f>
        <x:v>108776.664</x:v>
      </x:c>
      <x:c r="F24" s="88" t="n">
        <x:f>0.161452*Actualizado!I14</x:f>
        <x:v>112047.68800000001</x:v>
      </x:c>
      <x:c r="G24" s="88" t="n">
        <x:f>0.174301*Actualizado!J14</x:f>
        <x:v>118698.98100000001</x:v>
      </x:c>
      <x:c r="H24" s="88" t="n">
        <x:f>0.187151*Actualizado!K14</x:f>
        <x:v>148597.894</x:v>
      </x:c>
      <x:c r="I24" s="88" t="n">
        <x:f>20%*Actualizado!L14</x:f>
        <x:v>136200</x:v>
      </x:c>
      <x:c r="J24" s="80" t="n">
        <x:f>16%*Actualizado!M14</x:f>
        <x:v>98560</x:v>
      </x:c>
      <x:c r="K24" s="80" t="n">
        <x:f>17%*Actualizado!N14</x:f>
        <x:v>113730.00000000001</x:v>
      </x:c>
      <x:c r="L24" s="80" t="n">
        <x:f>17%*Actualizado!O14</x:f>
        <x:v>119000.00000000001</x:v>
      </x:c>
    </x:row>
    <x:row r="25" ht="12.600000381469727" customHeight="1">
      <x:c r="A25" s="6" t="s">
        <x:v>66</x:v>
      </x:c>
      <x:c r="B25" s="86" t="n">
        <x:f>12%*Actualizado!E14</x:f>
        <x:v>87600</x:v>
      </x:c>
      <x:c r="C25" s="96">
        <x:v>88000</x:v>
      </x:c>
      <x:c r="D25" s="88">
        <x:v>84000</x:v>
      </x:c>
      <x:c r="E25" s="88" t="n">
        <x:f>0.108323*Actualizado!H14</x:f>
        <x:v>79292.436</x:v>
      </x:c>
      <x:c r="F25" s="88" t="n">
        <x:f>0.103742*Actualizado!I14</x:f>
        <x:v>71996.948</x:v>
      </x:c>
      <x:c r="G25" s="88" t="n">
        <x:f>0.099161*Actualizado!J14</x:f>
        <x:v>67528.641</x:v>
      </x:c>
      <x:c r="H25" s="88" t="n">
        <x:f>0.094581*Actualizado!K14</x:f>
        <x:v>75097.314</x:v>
      </x:c>
      <x:c r="I25" s="88" t="n">
        <x:f>9%*Actualizado!L14</x:f>
        <x:v>61290</x:v>
      </x:c>
      <x:c r="J25" s="93">
        <x:v>100000</x:v>
      </x:c>
      <x:c r="K25" s="93">
        <x:v>63000</x:v>
      </x:c>
      <x:c r="L25" s="93" t="n">
        <x:f>9%*Actualizado!O14</x:f>
        <x:v>63000</x:v>
      </x:c>
    </x:row>
    <x:row r="26" ht="12.600000381469727" customHeight="1">
      <x:c r="A26" s="97" t="s">
        <x:v>11</x:v>
      </x:c>
      <x:c r="B26" s="86" t="n">
        <x:f>B25+B23+B24</x:f>
        <x:v>328500</x:v>
      </x:c>
      <x:c r="C26" s="98" t="n">
        <x:f>C25+C23+C24</x:f>
        <x:v>331000</x:v>
      </x:c>
      <x:c r="D26" s="99" t="n">
        <x:f>+D23+D24+D25</x:f>
        <x:v>328000</x:v>
      </x:c>
      <x:c r="E26" s="99" t="n">
        <x:f>E23+E24+E25</x:f>
        <x:v>329903.616</x:v>
      </x:c>
      <x:c r="F26" s="99" t="n">
        <x:f>F23+F24+F25</x:f>
        <x:v>319598.79800000007</x:v>
      </x:c>
      <x:c r="G26" s="99" t="n">
        <x:f>G23+G24+G25</x:f>
        <x:v>320304.264</x:v>
      </x:c>
      <x:c r="H26" s="99" t="n">
        <x:f>H23+H24+H25</x:f>
        <x:v>381257.362</x:v>
      </x:c>
      <x:c r="I26" s="99" t="n">
        <x:f>+I23+I24+I25</x:f>
        <x:v>333690</x:v>
      </x:c>
      <x:c r="J26" s="100" t="n">
        <x:f>+J23+J24+J25</x:f>
        <x:v>346400</x:v>
      </x:c>
      <x:c r="K26" s="100" t="n">
        <x:f>+K23+K24+K25</x:f>
        <x:v>343980</x:v>
      </x:c>
      <x:c r="L26" s="100" t="n">
        <x:f>L23+L24+L25</x:f>
        <x:v>357000</x:v>
      </x:c>
    </x:row>
    <x:row r="27" s="106" customFormat="1" ht="38.400001525878906" customHeight="1">
      <x:c r="A27" s="101" t="s">
        <x:v>3</x:v>
      </x:c>
      <x:c r="B27" s="102" t="s">
        <x:v>67</x:v>
      </x:c>
      <x:c r="C27" s="155" t="s">
        <x:v>68</x:v>
      </x:c>
      <x:c r="D27" s="155"/>
      <x:c r="E27" s="156" t="s">
        <x:v>69</x:v>
      </x:c>
      <x:c r="F27" s="156"/>
      <x:c r="G27" s="156"/>
      <x:c r="H27" s="156"/>
      <x:c r="I27" s="103" t="s">
        <x:v>33</x:v>
      </x:c>
      <x:c r="J27" s="104" t="s">
        <x:v>18</x:v>
      </x:c>
      <x:c r="K27" s="104" t="s">
        <x:v>34</x:v>
      </x:c>
      <x:c r="L27" s="105" t="s">
        <x:v>70</x:v>
      </x:c>
    </x:row>
    <x:row r="28">
      <x:c r="C28" s="107"/>
    </x:row>
    <x:row r="30" ht="12.600000381469727" customHeight="1"/>
    <x:row r="31" ht="13.199999809265137" customHeight="1">
      <x:c r="A31" s="154" t="s">
        <x:v>71</x:v>
      </x:c>
      <x:c r="B31" s="154"/>
      <x:c r="C31" s="154"/>
      <x:c r="D31" s="154"/>
      <x:c r="E31" s="154"/>
    </x:row>
    <x:row r="32" ht="12.600000381469727" customHeight="1">
      <x:c r="A32" s="6" t="s">
        <x:v>1</x:v>
      </x:c>
      <x:c r="B32" s="6">
        <x:v>2015</x:v>
      </x:c>
      <x:c r="C32" s="6">
        <x:v>2016</x:v>
      </x:c>
      <x:c r="D32" s="6">
        <x:v>2017</x:v>
      </x:c>
      <x:c r="E32" s="6">
        <x:v>2018</x:v>
      </x:c>
      <x:c r="F32" s="6">
        <x:v>2019</x:v>
      </x:c>
      <x:c r="G32" s="6">
        <x:v>2020</x:v>
      </x:c>
      <x:c r="H32" s="6">
        <x:v>2021</x:v>
      </x:c>
      <x:c r="I32" s="6">
        <x:v>2022</x:v>
      </x:c>
      <x:c r="J32" s="6">
        <x:v>2023</x:v>
      </x:c>
      <x:c r="K32" s="6">
        <x:v>2024</x:v>
      </x:c>
      <x:c r="L32" s="6">
        <x:v>2025</x:v>
      </x:c>
    </x:row>
    <x:row r="33" ht="12.600000381469727" customHeight="1">
      <x:c r="A33" s="6" t="s">
        <x:v>9</x:v>
      </x:c>
      <x:c r="B33" s="108" t="s">
        <x:v>72</x:v>
      </x:c>
      <x:c r="C33" s="108" t="s">
        <x:v>72</x:v>
      </x:c>
      <x:c r="D33" s="108" t="s">
        <x:v>72</x:v>
      </x:c>
      <x:c r="E33" s="108" t="s">
        <x:v>72</x:v>
      </x:c>
      <x:c r="F33" s="108" t="s">
        <x:v>72</x:v>
      </x:c>
      <x:c r="G33" s="108" t="s">
        <x:v>72</x:v>
      </x:c>
      <x:c r="H33" s="108" t="s">
        <x:v>72</x:v>
      </x:c>
      <x:c r="I33" s="108" t="s">
        <x:v>72</x:v>
      </x:c>
      <x:c r="J33" s="109">
        <x:v>3423</x:v>
      </x:c>
      <x:c r="K33" s="109">
        <x:v>7303</x:v>
      </x:c>
      <x:c r="L33" s="109">
        <x:v>6353</x:v>
      </x:c>
    </x:row>
    <x:row r="34" ht="12.600000381469727" customHeight="1">
      <x:c r="A34" s="6" t="s">
        <x:v>10</x:v>
      </x:c>
      <x:c r="B34" s="108" t="s">
        <x:v>72</x:v>
      </x:c>
      <x:c r="C34" s="108" t="s">
        <x:v>72</x:v>
      </x:c>
      <x:c r="D34" s="108" t="s">
        <x:v>72</x:v>
      </x:c>
      <x:c r="E34" s="108" t="s">
        <x:v>72</x:v>
      </x:c>
      <x:c r="F34" s="108" t="s">
        <x:v>72</x:v>
      </x:c>
      <x:c r="G34" s="108" t="s">
        <x:v>72</x:v>
      </x:c>
      <x:c r="H34" s="108" t="s">
        <x:v>72</x:v>
      </x:c>
      <x:c r="I34" s="108" t="s">
        <x:v>72</x:v>
      </x:c>
      <x:c r="J34" s="110">
        <x:v>531</x:v>
      </x:c>
      <x:c r="K34" s="110">
        <x:v>319</x:v>
      </x:c>
      <x:c r="L34" s="110">
        <x:v>53</x:v>
      </x:c>
    </x:row>
    <x:row r="35" ht="12.600000381469727" customHeight="1">
      <x:c r="A35" s="6" t="s">
        <x:v>11</x:v>
      </x:c>
      <x:c r="B35" s="108" t="s">
        <x:v>72</x:v>
      </x:c>
      <x:c r="C35" s="108" t="s">
        <x:v>72</x:v>
      </x:c>
      <x:c r="D35" s="108" t="s">
        <x:v>72</x:v>
      </x:c>
      <x:c r="E35" s="108" t="s">
        <x:v>72</x:v>
      </x:c>
      <x:c r="F35" s="108" t="s">
        <x:v>72</x:v>
      </x:c>
      <x:c r="G35" s="108" t="s">
        <x:v>72</x:v>
      </x:c>
      <x:c r="H35" s="108" t="s">
        <x:v>72</x:v>
      </x:c>
      <x:c r="I35" s="108" t="s">
        <x:v>72</x:v>
      </x:c>
      <x:c r="J35" s="109">
        <x:v>1627</x:v>
      </x:c>
      <x:c r="K35" s="109">
        <x:v>2086</x:v>
      </x:c>
      <x:c r="L35" s="109">
        <x:v>784</x:v>
      </x:c>
    </x:row>
    <x:row r="36" ht="12.600000381469727" customHeight="1">
      <x:c r="A36" s="6" t="s">
        <x:v>73</x:v>
      </x:c>
      <x:c r="B36" s="108" t="s">
        <x:v>72</x:v>
      </x:c>
      <x:c r="C36" s="108" t="s">
        <x:v>72</x:v>
      </x:c>
      <x:c r="D36" s="108" t="s">
        <x:v>72</x:v>
      </x:c>
      <x:c r="E36" s="108" t="s">
        <x:v>72</x:v>
      </x:c>
      <x:c r="F36" s="108" t="s">
        <x:v>72</x:v>
      </x:c>
      <x:c r="G36" s="108" t="s">
        <x:v>72</x:v>
      </x:c>
      <x:c r="H36" s="108" t="s">
        <x:v>72</x:v>
      </x:c>
      <x:c r="I36" s="108" t="s">
        <x:v>72</x:v>
      </x:c>
      <x:c r="J36" s="110">
        <x:v>408</x:v>
      </x:c>
      <x:c r="K36" s="110">
        <x:v>115</x:v>
      </x:c>
      <x:c r="L36" s="110">
        <x:v>314</x:v>
      </x:c>
    </x:row>
    <x:row r="37" ht="12.600000381469727" customHeight="1">
      <x:c r="A37" s="75" t="s">
        <x:v>3</x:v>
      </x:c>
      <x:c r="B37" s="111" t="s">
        <x:v>74</x:v>
      </x:c>
      <x:c r="C37" s="112"/>
      <x:c r="D37" s="112"/>
      <x:c r="E37" s="112"/>
      <x:c r="F37" s="112"/>
      <x:c r="G37" s="112"/>
      <x:c r="H37" s="112"/>
      <x:c r="I37" s="112"/>
      <x:c r="J37" s="157" t="s">
        <x:v>20</x:v>
      </x:c>
      <x:c r="K37" s="157"/>
      <x:c r="L37" s="157"/>
    </x:row>
  </x:sheetData>
  <x:mergeCells>
    <x:mergeCell ref="A1:L1"/>
    <x:mergeCell ref="N2:S5"/>
    <x:mergeCell ref="C6:K6"/>
    <x:mergeCell ref="A10:L10"/>
    <x:mergeCell ref="B15:C15"/>
    <x:mergeCell ref="D15:H15"/>
    <x:mergeCell ref="A19:E19"/>
    <x:mergeCell ref="C27:D27"/>
    <x:mergeCell ref="E27:H27"/>
    <x:mergeCell ref="A31:E31"/>
    <x:mergeCell ref="J37:L37"/>
  </x:mergeCells>
  <x:hyperlinks>
    <x:hyperlink xmlns:r="http://schemas.openxmlformats.org/officeDocument/2006/relationships" ref="C6" r:id="Re5b94f6c2c7c4f7b"/>
    <x:hyperlink xmlns:r="http://schemas.openxmlformats.org/officeDocument/2006/relationships" ref="B15" r:id="R7a56ac86669247c2"/>
    <x:hyperlink xmlns:r="http://schemas.openxmlformats.org/officeDocument/2006/relationships" ref="D15" r:id="R6ffa4ce6a3724c67"/>
    <x:hyperlink xmlns:r="http://schemas.openxmlformats.org/officeDocument/2006/relationships" ref="I15" r:id="R06bed3e19b2242fe"/>
    <x:hyperlink xmlns:r="http://schemas.openxmlformats.org/officeDocument/2006/relationships" ref="K15" r:id="Re88e7a72df90427e"/>
    <x:hyperlink xmlns:r="http://schemas.openxmlformats.org/officeDocument/2006/relationships" ref="C27" r:id="Rf89f571572fb4b0c"/>
    <x:hyperlink xmlns:r="http://schemas.openxmlformats.org/officeDocument/2006/relationships" ref="I27" r:id="R0111e2b3747e48de"/>
    <x:hyperlink xmlns:r="http://schemas.openxmlformats.org/officeDocument/2006/relationships" ref="J27" r:id="Rfc1b6997f4f348bc"/>
    <x:hyperlink xmlns:r="http://schemas.openxmlformats.org/officeDocument/2006/relationships" ref="K27" r:id="Rd8de38292b5440a6"/>
    <x:hyperlink xmlns:r="http://schemas.openxmlformats.org/officeDocument/2006/relationships" ref="J37" r:id="R20d659ea72824f92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theme="7" tint="0.39998"/>
  </x:sheetPr>
  <x:sheetFormatPr baseColWidth="10" defaultColWidth="10.77734375" defaultRowHeight="14.399999618530273"/>
  <x:cols>
    <x:col min="1" max="1" width="13.5546875" customWidth="1"/>
    <x:col min="2" max="2" width="35.88671875" customWidth="1"/>
    <x:col min="3" max="3" width="78.6640625" customWidth="1"/>
    <x:col min="4" max="4" width="14.6640625" customWidth="1"/>
  </x:cols>
  <x:sheetData>
    <x:row r="1" s="116" customFormat="1" ht="13.199999809265137" customHeight="1">
      <x:c r="A1" s="115" t="s">
        <x:v>75</x:v>
      </x:c>
      <x:c r="B1" s="115" t="s">
        <x:v>76</x:v>
      </x:c>
      <x:c r="C1" s="115" t="s">
        <x:v>77</x:v>
      </x:c>
      <x:c r="D1" s="115" t="s">
        <x:v>78</x:v>
      </x:c>
      <x:c r="E1" s="115">
        <x:v>2015</x:v>
      </x:c>
      <x:c r="F1" s="115">
        <x:v>2016</x:v>
      </x:c>
      <x:c r="G1" s="115">
        <x:v>2017</x:v>
      </x:c>
      <x:c r="H1" s="115">
        <x:v>2018</x:v>
      </x:c>
      <x:c r="I1" s="115">
        <x:v>2019</x:v>
      </x:c>
      <x:c r="J1" s="115">
        <x:v>2020</x:v>
      </x:c>
      <x:c r="K1" s="115">
        <x:v>2021</x:v>
      </x:c>
      <x:c r="L1" s="115">
        <x:v>2022</x:v>
      </x:c>
      <x:c r="M1" s="115">
        <x:v>2023</x:v>
      </x:c>
      <x:c r="N1" s="115">
        <x:v>2024</x:v>
      </x:c>
      <x:c r="O1" s="115">
        <x:v>2025</x:v>
      </x:c>
    </x:row>
    <x:row r="2" ht="12" customHeight="1">
      <x:c r="A2" s="117" t="s">
        <x:v>79</x:v>
      </x:c>
      <x:c r="B2" s="118" t="s">
        <x:v>80</x:v>
      </x:c>
      <x:c r="C2" s="119" t="s">
        <x:v>81</x:v>
      </x:c>
      <x:c r="D2" s="120"/>
      <x:c r="E2" s="121" t="n">
        <x:f>Actualizado!E4</x:f>
        <x:v>0.085</x:v>
      </x:c>
      <x:c r="F2" s="121" t="n">
        <x:f>Actualizado!F4</x:f>
        <x:v>0.085</x:v>
      </x:c>
      <x:c r="G2" s="121" t="n">
        <x:f>Actualizado!G4</x:f>
        <x:v>0.085</x:v>
      </x:c>
      <x:c r="H2" s="121" t="n">
        <x:f>Actualizado!H4</x:f>
        <x:v>0.085</x:v>
      </x:c>
      <x:c r="I2" s="121" t="n">
        <x:f>Actualizado!I4</x:f>
        <x:v>0.0905</x:v>
      </x:c>
      <x:c r="J2" s="121" t="n">
        <x:f>Actualizado!J4</x:f>
        <x:v>0.096</x:v>
      </x:c>
      <x:c r="K2" s="121" t="n">
        <x:f>Actualizado!K4</x:f>
        <x:v>0.087</x:v>
      </x:c>
      <x:c r="L2" s="121" t="n">
        <x:f>Actualizado!L4</x:f>
        <x:v>0.078</x:v>
      </x:c>
      <x:c r="M2" s="121" t="n">
        <x:f>Actualizado!M4</x:f>
        <x:v>0.0905</x:v>
      </x:c>
      <x:c r="N2" s="121" t="n">
        <x:f>Actualizado!N4</x:f>
        <x:v>0.103</x:v>
      </x:c>
      <x:c r="O2" s="122" t="n">
        <x:f>Actualizado!O4</x:f>
        <x:v>0.103</x:v>
      </x:c>
    </x:row>
    <x:row r="3" ht="12.600000381469727" customHeight="1">
      <x:c r="A3" s="117" t="s">
        <x:v>82</x:v>
      </x:c>
      <x:c r="B3" s="118" t="s">
        <x:v>83</x:v>
      </x:c>
      <x:c r="C3" s="119" t="s">
        <x:v>84</x:v>
      </x:c>
      <x:c r="D3" s="120"/>
      <x:c r="E3" s="121" t="n">
        <x:f>Actualizado!E9</x:f>
        <x:v>0.07</x:v>
      </x:c>
      <x:c r="F3" s="121" t="n">
        <x:f>Actualizado!F9</x:f>
        <x:v>0.07</x:v>
      </x:c>
      <x:c r="G3" s="121" t="n">
        <x:f>Actualizado!G9</x:f>
        <x:v>0.07</x:v>
      </x:c>
      <x:c r="H3" s="121" t="n">
        <x:f>Actualizado!H9</x:f>
        <x:v>0.07</x:v>
      </x:c>
      <x:c r="I3" s="121" t="n">
        <x:f>Actualizado!I9</x:f>
        <x:v>0.08</x:v>
      </x:c>
      <x:c r="J3" s="121" t="n">
        <x:f>Actualizado!J9</x:f>
        <x:v>0.09</x:v>
      </x:c>
      <x:c r="K3" s="121" t="n">
        <x:f>Actualizado!K9</x:f>
        <x:v>0.1</x:v>
      </x:c>
      <x:c r="L3" s="121" t="n">
        <x:f>Actualizado!L9</x:f>
        <x:v>0.11</x:v>
      </x:c>
      <x:c r="M3" s="121" t="n">
        <x:f>Actualizado!M9</x:f>
        <x:v>0.12</x:v>
      </x:c>
      <x:c r="N3" s="121" t="n">
        <x:f>Actualizado!N9</x:f>
        <x:v>0.13</x:v>
      </x:c>
      <x:c r="O3" s="122" t="n">
        <x:f>Actualizado!O9</x:f>
        <x:v>0.14</x:v>
      </x:c>
    </x:row>
    <x:row r="4" ht="12" customHeight="1">
      <x:c r="A4" s="167" t="s">
        <x:v>85</x:v>
      </x:c>
      <x:c r="B4" s="172" t="s">
        <x:v>86</x:v>
      </x:c>
      <x:c r="C4" s="123" t="s">
        <x:v>87</x:v>
      </x:c>
      <x:c r="D4" s="124"/>
      <x:c r="E4" s="165" t="n">
        <x:f>Actualizado!E7*1000/Actualizado!E22</x:f>
        <x:v>23.29835643194049</x:v>
      </x:c>
      <x:c r="F4" s="165" t="n">
        <x:f>Actualizado!F7*1000/Actualizado!F22</x:f>
        <x:v>24.437214615184214</x:v>
      </x:c>
      <x:c r="G4" s="165" t="n">
        <x:f>Actualizado!G7*1000/Actualizado!G22</x:f>
        <x:v>22.734145207563305</x:v>
      </x:c>
      <x:c r="H4" s="165" t="n">
        <x:f>Actualizado!H7*1000/Actualizado!H22</x:f>
        <x:v>24.720016856866582</x:v>
      </x:c>
      <x:c r="I4" s="165" t="n">
        <x:f>Actualizado!I7*1000/Actualizado!I22</x:f>
        <x:v>23.97781739354374</x:v>
      </x:c>
      <x:c r="J4" s="165" t="n">
        <x:f>Actualizado!J7*1000/Actualizado!J22</x:f>
        <x:v>23.61514012145401</x:v>
      </x:c>
      <x:c r="K4" s="165" t="n">
        <x:f>Actualizado!K7*1000/Actualizado!K22</x:f>
        <x:v>32.91061923587455</x:v>
      </x:c>
      <x:c r="L4" s="165" t="n">
        <x:f>Actualizado!L7*1000/Actualizado!L22</x:f>
        <x:v>30.882160703841592</x:v>
      </x:c>
      <x:c r="M4" s="165" t="n">
        <x:f>Actualizado!M7*1000/Actualizado!M22</x:f>
        <x:v>28.20106074444391</x:v>
      </x:c>
      <x:c r="N4" s="165" t="n">
        <x:f>Actualizado!N7*1000/Actualizado!N22</x:f>
        <x:v>30.065615230249822</x:v>
      </x:c>
      <x:c r="O4" s="166" t="n">
        <x:f>Actualizado!O7*1000/Actualizado!O22</x:f>
        <x:v>32.3626664980188</x:v>
      </x:c>
    </x:row>
    <x:row r="5" ht="12.600000381469727" customHeight="1">
      <x:c r="A5" s="167"/>
      <x:c r="B5" s="172"/>
      <x:c r="C5" s="125" t="s">
        <x:v>88</x:v>
      </x:c>
      <x:c r="D5" s="126"/>
      <x:c r="E5" s="165"/>
      <x:c r="F5" s="165"/>
      <x:c r="G5" s="165"/>
      <x:c r="H5" s="165"/>
      <x:c r="I5" s="165"/>
      <x:c r="J5" s="165"/>
      <x:c r="K5" s="165"/>
      <x:c r="L5" s="165"/>
      <x:c r="M5" s="165"/>
      <x:c r="N5" s="165"/>
      <x:c r="O5" s="166"/>
    </x:row>
    <x:row r="6" ht="32" customHeight="1">
      <x:c r="A6" s="199" t="str">
        <x:v>IC_REP_est</x:v>
      </x:c>
      <x:c r="B6" s="200" t="str">
        <x:v>Indicador estimado de avance respecto de la meta REP</x:v>
      </x:c>
      <x:c r="C6" s="201" t="str">
        <x:v>Vrec,t / (meta_t x Gpackaging,t-1)</x:v>
      </x:c>
      <x:c r="D6" s="120"/>
      <x:c r="E6" s="169"/>
      <x:c r="F6" s="169"/>
      <x:c r="G6" s="169"/>
      <x:c r="H6" s="169"/>
      <x:c r="I6" s="169"/>
      <x:c r="J6" s="169"/>
      <x:c r="K6" s="169"/>
      <x:c r="L6" s="169"/>
      <x:c r="M6" s="170" t="n">
        <x:f>+Actualizado!M11/(Metas_REP!B3*Actualizado!L7)</x:f>
        <x:v>0.8474990827932005</x:v>
      </x:c>
      <x:c r="N6" s="170" t="n">
        <x:f>+Actualizado!N11/(Metas_REP!C3*Actualizado!M7)</x:f>
        <x:v>0.819658772599949</x:v>
      </x:c>
      <x:c r="O6" s="171" t="n">
        <x:f>+Actualizado!O11/(Metas_REP!D3*Actualizado!N7)</x:f>
        <x:v>0.6882802173593773</x:v>
      </x:c>
    </x:row>
    <x:row r="7" ht="28" customHeight="1">
      <x:c r="A7" s="199"/>
      <x:c r="B7" s="200"/>
      <x:c r="C7" s="202" t="str">
        <x:v>Disponible desde 2023, inicio de la implementación operativa de las metas para envases</x:v>
      </x:c>
      <x:c r="D7" s="180"/>
      <x:c r="E7" s="184"/>
      <x:c r="F7" s="184"/>
      <x:c r="G7" s="169"/>
      <x:c r="H7" s="169"/>
      <x:c r="I7" s="169"/>
      <x:c r="J7" s="169"/>
      <x:c r="K7" s="169"/>
      <x:c r="L7" s="169"/>
      <x:c r="M7" s="170"/>
      <x:c r="N7" s="170"/>
      <x:c r="O7" s="171"/>
    </x:row>
    <x:row r="8" s="129" customFormat="1" ht="12" customHeight="1">
      <x:c r="A8" s="203" t="str">
        <x:v>MCI</x:v>
      </x:c>
      <x:c r="B8" s="204" t="str">
        <x:v>No calculado</x:v>
      </x:c>
      <x:c r="C8" s="205" t="str">
        <x:v>No se reporta una serie numérica sin una frontera coherente y datos auditables</x:v>
      </x:c>
      <x:c r="D8" s="190"/>
      <x:c r="E8" s="191"/>
      <x:c r="F8" s="196"/>
      <x:c r="G8" s="196"/>
      <x:c r="H8" s="196"/>
      <x:c r="I8" s="196"/>
      <x:c r="J8" s="196"/>
      <x:c r="K8" s="196"/>
      <x:c r="L8" s="196"/>
      <x:c r="M8" s="196"/>
      <x:c r="N8" s="196"/>
      <x:c r="O8" s="196"/>
    </x:row>
    <x:row r="9" s="129" customFormat="1" ht="11.399999618530273" customHeight="1">
      <x:c r="A9" s="203"/>
      <x:c r="B9" s="204"/>
      <x:c r="C9" s="206" t="str">
        <x:v>V = entrada virgen; disponible solo como importación, no como entrada total al producto</x:v>
      </x:c>
      <x:c r="D9" s="192"/>
      <x:c r="E9" s="193"/>
      <x:c r="F9" s="197"/>
      <x:c r="G9" s="197"/>
      <x:c r="H9" s="197"/>
      <x:c r="I9" s="197"/>
      <x:c r="J9" s="197"/>
      <x:c r="K9" s="197"/>
      <x:c r="L9" s="197"/>
      <x:c r="M9" s="197"/>
      <x:c r="N9" s="197"/>
      <x:c r="O9" s="197"/>
    </x:row>
    <x:row r="10" s="129" customFormat="1" ht="12.600000381469727" customHeight="1">
      <x:c r="A10" s="203"/>
      <x:c r="B10" s="204"/>
      <x:c r="C10" s="206" t="str">
        <x:v>W = residuos no recuperados; no disponible con la misma frontera</x:v>
      </x:c>
      <x:c r="D10" s="192"/>
      <x:c r="E10" s="193"/>
      <x:c r="F10" s="197"/>
      <x:c r="G10" s="197"/>
      <x:c r="H10" s="197"/>
      <x:c r="I10" s="197"/>
      <x:c r="J10" s="197"/>
      <x:c r="K10" s="197"/>
      <x:c r="L10" s="197"/>
      <x:c r="M10" s="197"/>
      <x:c r="N10" s="197"/>
      <x:c r="O10" s="197"/>
    </x:row>
    <x:row r="11" s="129" customFormat="1" ht="12.600000381469727" customHeight="1">
      <x:c r="A11" s="203"/>
      <x:c r="B11" s="204"/>
      <x:c r="C11" s="206" t="str">
        <x:v>Wf = pérdidas de producción de materia prima reciclada; no disponible</x:v>
      </x:c>
      <x:c r="D11" s="192"/>
      <x:c r="E11" s="193"/>
      <x:c r="F11" s="197"/>
      <x:c r="G11" s="197"/>
      <x:c r="H11" s="197"/>
      <x:c r="I11" s="197"/>
      <x:c r="J11" s="197"/>
      <x:c r="K11" s="197"/>
      <x:c r="L11" s="197"/>
      <x:c r="M11" s="197"/>
      <x:c r="N11" s="197"/>
      <x:c r="O11" s="197"/>
    </x:row>
    <x:row r="12" s="129" customFormat="1" ht="12.600000381469727" customHeight="1">
      <x:c r="A12" s="203"/>
      <x:c r="B12" s="204"/>
      <x:c r="C12" s="206" t="str">
        <x:v>Wc = pérdidas del reciclaje al final de vida; no disponible</x:v>
      </x:c>
      <x:c r="D12" s="192"/>
      <x:c r="E12" s="193"/>
      <x:c r="F12" s="197"/>
      <x:c r="G12" s="197"/>
      <x:c r="H12" s="197"/>
      <x:c r="I12" s="197"/>
      <x:c r="J12" s="197"/>
      <x:c r="K12" s="197"/>
      <x:c r="L12" s="197"/>
      <x:c r="M12" s="197"/>
      <x:c r="N12" s="197"/>
      <x:c r="O12" s="197"/>
    </x:row>
    <x:row r="13" s="129" customFormat="1" ht="13.199999809265137" customHeight="1">
      <x:c r="A13" s="203"/>
      <x:c r="B13" s="204"/>
      <x:c r="C13" s="207" t="str">
        <x:v>F(X) = utilidad/durabilidad del producto; no disponible para el sistema nacional</x:v>
      </x:c>
      <x:c r="D13" s="194"/>
      <x:c r="E13" s="195"/>
      <x:c r="F13" s="198"/>
      <x:c r="G13" s="198"/>
      <x:c r="H13" s="198"/>
      <x:c r="I13" s="198"/>
      <x:c r="J13" s="198"/>
      <x:c r="K13" s="198"/>
      <x:c r="L13" s="198"/>
      <x:c r="M13" s="198"/>
      <x:c r="N13" s="198"/>
      <x:c r="O13" s="198"/>
    </x:row>
    <x:row r="14" ht="16.200000762939453">
      <x:c r="A14" s="173" t="str">
        <x:v>eC</x:v>
      </x:c>
      <x:c r="B14" s="174" t="str">
        <x:v>Circularidad efectiva</x:v>
      </x:c>
      <x:c r="C14" s="185" t="str">
        <x:v>Qrec = materia prima gestionada o reciclada de la resina j</x:v>
      </x:c>
      <x:c r="D14" s="181" t="s">
        <x:v>9</x:v>
      </x:c>
      <x:c r="E14" s="186" t="n">
        <x:f>+Resinas!B3/Resinas!B21</x:f>
        <x:v>0.1295468914646997</x:v>
      </x:c>
      <x:c r="F14" s="186" t="n">
        <x:f>+Resinas!C3/Resinas!C21</x:f>
        <x:v>0.12831645965974325</x:v>
      </x:c>
      <x:c r="G14" s="176" t="n">
        <x:f>+Resinas!D3/Resinas!D21</x:f>
        <x:v>0.11631720430107527</x:v>
      </x:c>
      <x:c r="H14" s="176" t="n">
        <x:f>+Resinas!E3/Resinas!E21</x:f>
        <x:v>0.13858834244080145</x:v>
      </x:c>
      <x:c r="I14" s="176" t="n">
        <x:f>+Resinas!F3/Resinas!F21</x:f>
        <x:v>0.1689433237271854</x:v>
      </x:c>
      <x:c r="J14" s="176" t="n">
        <x:f>+Resinas!G3/Resinas!G21</x:f>
        <x:v>0.18739109153206068</x:v>
      </x:c>
      <x:c r="K14" s="176" t="n">
        <x:f>+Resinas!H3/Resinas!H21</x:f>
        <x:v>0.204911838790932</x:v>
      </x:c>
      <x:c r="L14" s="176" t="n">
        <x:f>+Resinas!I3/Resinas!I21</x:f>
        <x:v>0.21550660792951543</x:v>
      </x:c>
      <x:c r="M14" s="176" t="n">
        <x:f>+Resinas!J3/Resinas!J21</x:f>
        <x:v>0.24643939393939393</x:v>
      </x:c>
      <x:c r="N14" s="176" t="n">
        <x:f>+Resinas!K3/Resinas!K21</x:f>
        <x:v>0.21926115737774926</x:v>
      </x:c>
      <x:c r="O14" s="176" t="n">
        <x:f>+Resinas!L3/Resinas!L21</x:f>
        <x:v>0.20301959016458265</x:v>
      </x:c>
    </x:row>
    <x:row r="15" ht="16.200000762939453">
      <x:c r="A15" s="173"/>
      <x:c r="B15" s="174"/>
      <x:c r="C15" s="175" t="str">
        <x:v>eC(j,t) = Qrec(j,t) / Qvir(j,t)</x:v>
      </x:c>
      <x:c r="D15" s="177" t="s">
        <x:v>10</x:v>
      </x:c>
      <x:c r="E15" s="178" t="n">
        <x:f>+Resinas!B4/Resinas!B22</x:f>
        <x:v>0.22561643835616438</x:v>
      </x:c>
      <x:c r="F15" s="178" t="n">
        <x:f>+Resinas!C4/Resinas!C22</x:f>
        <x:v>0.1583653846153846</x:v>
      </x:c>
      <x:c r="G15" s="178" t="n">
        <x:f>+Resinas!D4/Resinas!D22</x:f>
        <x:v>0.1377049180327869</x:v>
      </x:c>
      <x:c r="H15" s="178" t="n">
        <x:f>+Resinas!E4/Resinas!E22</x:f>
        <x:v>0.014332152913189448</x:v>
      </x:c>
      <x:c r="I15" s="178" t="n">
        <x:f>+Resinas!F4/Resinas!F22</x:f>
        <x:v>0.014802333041816348</x:v>
      </x:c>
      <x:c r="J15" s="178" t="n">
        <x:f>+Resinas!G4/Resinas!G22</x:f>
        <x:v>0.3491631353777625</x:v>
      </x:c>
      <x:c r="K15" s="178" t="n">
        <x:f>+Resinas!H4/Resinas!H22</x:f>
        <x:v>0.35411585398736606</x:v>
      </x:c>
      <x:c r="L15" s="178" t="n">
        <x:f>+Resinas!I4/Resinas!I22</x:f>
        <x:v>0.3678623872456471</x:v>
      </x:c>
      <x:c r="M15" s="178" t="n">
        <x:f>+Resinas!J4/Resinas!J22</x:f>
        <x:v>0.3089516129032258</x:v>
      </x:c>
      <x:c r="N15" s="178" t="n">
        <x:f>+Resinas!K4/Resinas!K22</x:f>
        <x:v>0.3193125</x:v>
      </x:c>
      <x:c r="O15" s="178" t="n">
        <x:f>+Resinas!L4/Resinas!L22</x:f>
        <x:v>0.2654025974025974</x:v>
      </x:c>
    </x:row>
    <x:row r="16" ht="16.200000762939453">
      <x:c r="A16" s="173"/>
      <x:c r="B16" s="174"/>
      <x:c r="C16" s="179" t="str">
        <x:v>Qvir = materia prima virgen de la resina j</x:v>
      </x:c>
      <x:c r="D16" s="177" t="s">
        <x:v>11</x:v>
      </x:c>
      <x:c r="E16" s="178" t="n">
        <x:f>+Resinas!B5/Resinas!B26</x:f>
        <x:v>0.12463013698630138</x:v>
      </x:c>
      <x:c r="F16" s="178" t="n">
        <x:f>+Resinas!C5/Resinas!C26</x:f>
        <x:v>0.12368882175226587</x:v>
      </x:c>
      <x:c r="G16" s="178" t="n">
        <x:f>+Resinas!D5/Resinas!D26</x:f>
        <x:v>0.1273170731707317</x:v>
      </x:c>
      <x:c r="H16" s="178" t="n">
        <x:f>+Resinas!E5/Resinas!E26</x:f>
        <x:v>0.11966222279903717</x:v>
      </x:c>
      <x:c r="I16" s="178" t="n">
        <x:f>+Resinas!F5/Resinas!F26</x:f>
        <x:v>0.1182200941819562</x:v>
      </x:c>
      <x:c r="J16" s="178" t="n">
        <x:f>+Resinas!G5/Resinas!G26</x:f>
        <x:v>0.12155005217164389</x:v>
      </x:c>
      <x:c r="K16" s="178" t="n">
        <x:f>+Resinas!H5/Resinas!H26</x:f>
        <x:v>0.1198403088148105</x:v>
      </x:c>
      <x:c r="L16" s="178" t="n">
        <x:f>+Resinas!I5/Resinas!I26</x:f>
        <x:v>0.13811921244268632</x:v>
      </x:c>
      <x:c r="M16" s="178" t="n">
        <x:f>+Resinas!J5/Resinas!J26</x:f>
        <x:v>0.1571391454965358</x:v>
      </x:c>
      <x:c r="N16" s="178" t="n">
        <x:f>+Resinas!K5/Resinas!K26</x:f>
        <x:v>0.16852433281004708</x:v>
      </x:c>
      <x:c r="O16" s="178" t="n">
        <x:f>+Resinas!L5/Resinas!L26</x:f>
        <x:v>0.1623781512605042</x:v>
      </x:c>
    </x:row>
    <x:row r="17" ht="16.200000762939453">
      <x:c r="A17" s="162" t="s">
        <x:v>89</x:v>
      </x:c>
      <x:c r="B17" s="163" t="s">
        <x:v>90</x:v>
      </x:c>
      <x:c r="C17" s="134" t="s">
        <x:v>91</x:v>
      </x:c>
      <x:c r="D17" s="131" t="s">
        <x:v>9</x:v>
      </x:c>
      <x:c r="E17" s="135" t="n">
        <x:f>(Emisiones!$B$3-Emisiones!$C$3)*Resinas!B3/1000000000</x:f>
        <x:v>0.02987442</x:v>
      </x:c>
      <x:c r="F17" s="135" t="n">
        <x:f>(Emisiones!$B$3-Emisiones!$C$3)*Resinas!C3/1000000000</x:f>
        <x:v>0.02987442</x:v>
      </x:c>
      <x:c r="G17" s="135" t="n">
        <x:f>(Emisiones!$B$3-Emisiones!$C$3)*Resinas!D3/1000000000</x:f>
        <x:v>0.03154383</x:v>
      </x:c>
      <x:c r="H17" s="135" t="n">
        <x:f>(Emisiones!$B$3-Emisiones!$C$3)*Resinas!E3/1000000000</x:f>
        <x:v>0.03697731</x:v>
      </x:c>
      <x:c r="I17" s="135" t="n">
        <x:f>(Emisiones!$B$3-Emisiones!$C$3)*Resinas!F3/1000000000</x:f>
        <x:v>0.04273641</x:v>
      </x:c>
      <x:c r="J17" s="135" t="n">
        <x:f>(Emisiones!$B$3-Emisiones!$C$3)*Resinas!G3/1000000000</x:f>
        <x:v>0.04651506</x:v>
      </x:c>
      <x:c r="K17" s="135" t="n">
        <x:f>(Emisiones!$B$3-Emisiones!$C$3)*Resinas!H3/1000000000</x:f>
        <x:v>0.05930415</x:v>
      </x:c>
      <x:c r="L17" s="135" t="n">
        <x:f>(Emisiones!$B$3-Emisiones!$C$3)*Resinas!I3/1000000000</x:f>
        <x:v>0.05349402</x:v>
      </x:c>
      <x:c r="M17" s="135" t="n">
        <x:f>(Emisiones!$B$3-Emisiones!$C$3)*Resinas!J3/1000000000</x:f>
        <x:v>0.05533353</x:v>
      </x:c>
      <x:c r="N17" s="135" t="n">
        <x:f>(Emisiones!$B$3-Emisiones!$C$3)*Resinas!K3/1000000000</x:f>
        <x:v>0.04990248</x:v>
      </x:c>
      <x:c r="O17" s="136" t="n">
        <x:f>(Emisiones!$B$3-Emisiones!$C$3)*Resinas!L3/1000000000</x:f>
        <x:v>0.04990248</x:v>
      </x:c>
    </x:row>
    <x:row r="18" ht="15.600000381469727">
      <x:c r="A18" s="162"/>
      <x:c r="B18" s="163"/>
      <x:c r="C18" s="130" t="s">
        <x:v>92</x:v>
      </x:c>
      <x:c r="D18" s="6" t="s">
        <x:v>10</x:v>
      </x:c>
      <x:c r="E18" s="137" t="n">
        <x:f>(Emisiones!$B$4-Emisiones!$C$4)*Resinas!B4/1000000000</x:f>
        <x:v>0.01278072</x:v>
      </x:c>
      <x:c r="F18" s="137" t="n">
        <x:f>(Emisiones!$B$4-Emisiones!$C$4)*Resinas!C4/1000000000</x:f>
        <x:v>0.01278072</x:v>
      </x:c>
      <x:c r="G18" s="137" t="n">
        <x:f>(Emisiones!$B$4-Emisiones!$C$4)*Resinas!D4/1000000000</x:f>
        <x:v>0.0130368</x:v>
      </x:c>
      <x:c r="H18" s="137" t="n">
        <x:f>(Emisiones!$B$4-Emisiones!$C$4)*Resinas!E4/1000000000</x:f>
        <x:v>0.00129592</x:v>
      </x:c>
      <x:c r="I18" s="137" t="n">
        <x:f>(Emisiones!$B$4-Emisiones!$C$4)*Resinas!F4/1000000000</x:f>
        <x:v>0.001230736</x:v>
      </x:c>
      <x:c r="J18" s="137" t="n">
        <x:f>(Emisiones!$B$4-Emisiones!$C$4)*Resinas!G4/1000000000</x:f>
        <x:v>0.02760232</x:v>
      </x:c>
      <x:c r="K18" s="137" t="n">
        <x:f>(Emisiones!$B$4-Emisiones!$C$4)*Resinas!H4/1000000000</x:f>
        <x:v>0.031592512</x:v>
      </x:c>
      <x:c r="L18" s="137" t="n">
        <x:f>(Emisiones!$B$4-Emisiones!$C$4)*Resinas!I4/1000000000</x:f>
        <x:v>0.027215872</x:v>
      </x:c>
      <x:c r="M18" s="137" t="n">
        <x:f>(Emisiones!$B$4-Emisiones!$C$4)*Resinas!J4/1000000000</x:f>
        <x:v>0.02972856</x:v>
      </x:c>
      <x:c r="N18" s="137" t="n">
        <x:f>(Emisiones!$B$4-Emisiones!$C$4)*Resinas!K4/1000000000</x:f>
        <x:v>0.031716672</x:v>
      </x:c>
      <x:c r="O18" s="138" t="n">
        <x:f>(Emisiones!$B$4-Emisiones!$C$4)*Resinas!L4/1000000000</x:f>
        <x:v>0.031716672</x:v>
      </x:c>
    </x:row>
    <x:row r="19" ht="16.200000762939453">
      <x:c r="A19" s="162"/>
      <x:c r="B19" s="163"/>
      <x:c r="C19" s="130" t="s">
        <x:v>93</x:v>
      </x:c>
      <x:c r="D19" s="6" t="s">
        <x:v>11</x:v>
      </x:c>
      <x:c r="E19" s="137" t="n">
        <x:f>(Emisiones!$B$5-Emisiones!$C$5)*Resinas!B5/1000000000</x:f>
        <x:v>0.065792187</x:v>
      </x:c>
      <x:c r="F19" s="137" t="n">
        <x:f>(Emisiones!$B$5-Emisiones!$C$5)*Resinas!C5/1000000000</x:f>
        <x:v>0.065792187</x:v>
      </x:c>
      <x:c r="G19" s="137" t="n">
        <x:f>(Emisiones!$B$5-Emisiones!$C$5)*Resinas!D5/1000000000</x:f>
        <x:v>0.06710832</x:v>
      </x:c>
      <x:c r="H19" s="137" t="n">
        <x:f>(Emisiones!$B$5-Emisiones!$C$5)*Resinas!E5/1000000000</x:f>
        <x:v>0.063439539</x:v>
      </x:c>
      <x:c r="I19" s="137" t="n">
        <x:f>(Emisiones!$B$5-Emisiones!$C$5)*Resinas!F5/1000000000</x:f>
        <x:v>0.060717281</x:v>
      </x:c>
      <x:c r="J19" s="137" t="n">
        <x:f>(Emisiones!$B$5-Emisiones!$C$5)*Resinas!G5/1000000000</x:f>
        <x:v>0.062565331</x:v>
      </x:c>
      <x:c r="K19" s="137" t="n">
        <x:f>(Emisiones!$B$5-Emisiones!$C$5)*Resinas!H5/1000000000</x:f>
        <x:v>0.07342383</x:v>
      </x:c>
      <x:c r="L19" s="137" t="n">
        <x:f>(Emisiones!$B$5-Emisiones!$C$5)*Resinas!I5/1000000000</x:f>
        <x:v>0.074065023</x:v>
      </x:c>
      <x:c r="M19" s="137" t="n">
        <x:f>(Emisiones!$B$5-Emisiones!$C$5)*Resinas!J5/1000000000</x:f>
        <x:v>0.087473831</x:v>
      </x:c>
      <x:c r="N19" s="137" t="n">
        <x:f>(Emisiones!$B$5-Emisiones!$C$5)*Resinas!K5/1000000000</x:f>
        <x:v>0.093156183</x:v>
      </x:c>
      <x:c r="O19" s="138" t="n">
        <x:f>(Emisiones!$B$5-Emisiones!$C$5)*Resinas!L5/1000000000</x:f>
        <x:v>0.093156183</x:v>
      </x:c>
    </x:row>
    <x:row r="20" ht="15.600000381469727">
      <x:c r="A20" s="127" t="s">
        <x:v>94</x:v>
      </x:c>
      <x:c r="B20" s="128" t="s">
        <x:v>95</x:v>
      </x:c>
      <x:c r="C20" s="134" t="str">
        <x:v>Suma PET, PP y PE</x:v>
      </x:c>
      <x:c r="D20" s="131"/>
      <x:c r="E20" s="132" t="n">
        <x:f>SUM(E17:E19)</x:f>
        <x:v>0.10844732700000001</x:v>
      </x:c>
      <x:c r="F20" s="132" t="n">
        <x:f>SUM(F17:F19)</x:f>
        <x:v>0.10844732700000001</x:v>
      </x:c>
      <x:c r="G20" s="132" t="n">
        <x:f>SUM(G17:G19)</x:f>
        <x:v>0.11168895000000001</x:v>
      </x:c>
      <x:c r="H20" s="132" t="n">
        <x:f>SUM(H17:H19)</x:f>
        <x:v>0.10171276900000001</x:v>
      </x:c>
      <x:c r="I20" s="132" t="n">
        <x:f>SUM(I17:I19)</x:f>
        <x:v>0.104684427</x:v>
      </x:c>
      <x:c r="J20" s="132" t="n">
        <x:f>SUM(J17:J19)</x:f>
        <x:v>0.136682711</x:v>
      </x:c>
      <x:c r="K20" s="132" t="n">
        <x:f>SUM(K17:K19)</x:f>
        <x:v>0.16432049199999998</x:v>
      </x:c>
      <x:c r="L20" s="132" t="n">
        <x:f>SUM(L17:L19)</x:f>
        <x:v>0.154774915</x:v>
      </x:c>
      <x:c r="M20" s="132" t="n">
        <x:f>SUM(M17:M19)</x:f>
        <x:v>0.172535921</x:v>
      </x:c>
      <x:c r="N20" s="132" t="n">
        <x:f>SUM(N17:N19)</x:f>
        <x:v>0.174775335</x:v>
      </x:c>
      <x:c r="O20" s="133" t="n">
        <x:f>SUM(O17:O19)</x:f>
        <x:v>0.174775335</x:v>
      </x:c>
    </x:row>
    <x:row r="21" ht="12.600000381469727" customHeight="1"/>
    <x:row r="22" ht="12.600000381469727" customHeight="1"/>
    <x:row r="23" ht="13.199999809265137" customHeight="1"/>
    <x:row r="24">
      <x:c r="E24">
        <x:f t="shared" ref="E24:O24" si="0">SUM(E20:E23)</x:f>
      </x:c>
      <x:c r="F24">
        <x:f t="shared" si="0"/>
      </x:c>
      <x:c r="G24">
        <x:f t="shared" si="0"/>
      </x:c>
      <x:c r="H24">
        <x:f t="shared" si="0"/>
      </x:c>
      <x:c r="I24">
        <x:f t="shared" si="0"/>
      </x:c>
      <x:c r="J24">
        <x:f t="shared" si="0"/>
      </x:c>
      <x:c r="K24">
        <x:f t="shared" si="0"/>
      </x:c>
      <x:c r="L24">
        <x:f t="shared" si="0"/>
      </x:c>
      <x:c r="M24">
        <x:f t="shared" si="0"/>
      </x:c>
      <x:c r="N24">
        <x:f t="shared" si="0"/>
      </x:c>
      <x:c r="O24">
        <x:f t="shared" si="0"/>
      </x:c>
    </x:row>
  </x:sheetData>
  <x:mergeCells>
    <x:mergeCell ref="A4:A5"/>
    <x:mergeCell ref="B4:B5"/>
    <x:mergeCell ref="E4:E5"/>
    <x:mergeCell ref="F4:F5"/>
    <x:mergeCell ref="G4:G5"/>
    <x:mergeCell ref="O4:O5"/>
    <x:mergeCell ref="A6:A7"/>
    <x:mergeCell ref="B6:B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6:O7"/>
    <x:mergeCell ref="H4:H5"/>
    <x:mergeCell ref="I4:I5"/>
    <x:mergeCell ref="E8:E13"/>
    <x:mergeCell ref="F8:F13"/>
    <x:mergeCell ref="G8:G13"/>
    <x:mergeCell ref="M4:M5"/>
    <x:mergeCell ref="N4:N5"/>
    <x:mergeCell ref="J4:J5"/>
    <x:mergeCell ref="K4:K5"/>
    <x:mergeCell ref="L4:L5"/>
    <x:mergeCell ref="A17:A19"/>
    <x:mergeCell ref="B17:B19"/>
    <x:mergeCell ref="M8:M13"/>
    <x:mergeCell ref="N8:N13"/>
    <x:mergeCell ref="O8:O13"/>
    <x:mergeCell ref="A14:A16"/>
    <x:mergeCell ref="B14:B16"/>
    <x:mergeCell ref="C14:C15"/>
    <x:mergeCell ref="H8:H13"/>
    <x:mergeCell ref="I8:I13"/>
    <x:mergeCell ref="J8:J13"/>
    <x:mergeCell ref="K8:K13"/>
    <x:mergeCell ref="L8:L13"/>
    <x:mergeCell ref="A8:A13"/>
    <x:mergeCell ref="B8:B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8.77734375" defaultRowHeight="14.399999618530273"/>
  <x:cols>
    <x:col min="1" max="1" width="12" customWidth="1"/>
    <x:col min="2" max="2" width="16" customWidth="1"/>
    <x:col min="3" max="3" width="28" customWidth="1"/>
    <x:col min="4" max="4" width="18" customWidth="1"/>
    <x:col min="5" max="5" width="48" customWidth="1"/>
    <x:col min="6" max="6" width="58" customWidth="1"/>
    <x:col min="7" max="7" width="62" customWidth="1"/>
  </x:cols>
  <x:sheetData>
    <x:row r="1">
      <x:c r="A1" s="139" t="s">
        <x:v>96</x:v>
      </x:c>
      <x:c r="B1" s="139" t="s">
        <x:v>97</x:v>
      </x:c>
      <x:c r="C1" s="139" t="s">
        <x:v>98</x:v>
      </x:c>
      <x:c r="D1" s="139" t="s">
        <x:v>99</x:v>
      </x:c>
      <x:c r="E1" s="139" t="s">
        <x:v>100</x:v>
      </x:c>
      <x:c r="F1" s="139" t="s">
        <x:v>101</x:v>
      </x:c>
      <x:c r="G1" s="139" t="s">
        <x:v>102</x:v>
      </x:c>
    </x:row>
    <x:row r="2" ht="48" customHeight="1">
      <x:c r="A2" s="140" t="s">
        <x:v>103</x:v>
      </x:c>
      <x:c r="B2" s="140" t="s">
        <x:v>104</x:v>
      </x:c>
      <x:c r="C2" s="140" t="s">
        <x:v>105</x:v>
      </x:c>
      <x:c r="D2" s="140" t="s">
        <x:v>106</x:v>
      </x:c>
      <x:c r="E2" s="140" t="s">
        <x:v>107</x:v>
      </x:c>
      <x:c r="F2" s="140" t="s">
        <x:v>108</x:v>
      </x:c>
      <x:c r="G2" s="140" t="s">
        <x:v>109</x:v>
      </x:c>
    </x:row>
    <x:row r="3" ht="48" customHeight="1">
      <x:c r="A3" s="140" t="s">
        <x:v>110</x:v>
      </x:c>
      <x:c r="B3" s="140" t="s">
        <x:v>104</x:v>
      </x:c>
      <x:c r="C3" s="140" t="s">
        <x:v>111</x:v>
      </x:c>
      <x:c r="D3" s="140" t="s">
        <x:v>106</x:v>
      </x:c>
      <x:c r="E3" s="140" t="s">
        <x:v>107</x:v>
      </x:c>
      <x:c r="F3" s="140" t="s">
        <x:v>108</x:v>
      </x:c>
      <x:c r="G3" s="140" t="s">
        <x:v>109</x:v>
      </x:c>
    </x:row>
    <x:row r="4" ht="48" customHeight="1">
      <x:c r="A4" s="140" t="s">
        <x:v>112</x:v>
      </x:c>
      <x:c r="B4" s="140" t="s">
        <x:v>104</x:v>
      </x:c>
      <x:c r="C4" s="140" t="s">
        <x:v>113</x:v>
      </x:c>
      <x:c r="D4" s="140" t="s">
        <x:v>106</x:v>
      </x:c>
      <x:c r="E4" s="140" t="s">
        <x:v>107</x:v>
      </x:c>
      <x:c r="F4" s="140" t="s">
        <x:v>108</x:v>
      </x:c>
      <x:c r="G4" s="140" t="s">
        <x:v>109</x:v>
      </x:c>
    </x:row>
    <x:row r="5" ht="48" customHeight="1">
      <x:c r="A5" s="140" t="s">
        <x:v>114</x:v>
      </x:c>
      <x:c r="B5" s="140" t="s">
        <x:v>104</x:v>
      </x:c>
      <x:c r="C5" s="140" t="s">
        <x:v>115</x:v>
      </x:c>
      <x:c r="D5" s="140" t="s">
        <x:v>106</x:v>
      </x:c>
      <x:c r="E5" s="140" t="s">
        <x:v>107</x:v>
      </x:c>
      <x:c r="F5" s="140" t="s">
        <x:v>108</x:v>
      </x:c>
      <x:c r="G5" s="140" t="s">
        <x:v>109</x:v>
      </x:c>
    </x:row>
    <x:row r="6" ht="48" customHeight="1">
      <x:c r="A6" s="140" t="s">
        <x:v>116</x:v>
      </x:c>
      <x:c r="B6" s="140" t="s">
        <x:v>104</x:v>
      </x:c>
      <x:c r="C6" s="140" t="s">
        <x:v>117</x:v>
      </x:c>
      <x:c r="D6" s="140" t="s">
        <x:v>106</x:v>
      </x:c>
      <x:c r="E6" s="140" t="s">
        <x:v>107</x:v>
      </x:c>
      <x:c r="F6" s="140" t="s">
        <x:v>108</x:v>
      </x:c>
      <x:c r="G6" s="140" t="s">
        <x:v>109</x:v>
      </x:c>
    </x:row>
    <x:row r="7" ht="48" customHeight="1">
      <x:c r="A7" s="140" t="s">
        <x:v>118</x:v>
      </x:c>
      <x:c r="B7" s="140" t="s">
        <x:v>104</x:v>
      </x:c>
      <x:c r="C7" s="140" t="s">
        <x:v>119</x:v>
      </x:c>
      <x:c r="D7" s="140" t="s">
        <x:v>106</x:v>
      </x:c>
      <x:c r="E7" s="140" t="s">
        <x:v>120</x:v>
      </x:c>
      <x:c r="F7" s="140" t="s">
        <x:v>108</x:v>
      </x:c>
      <x:c r="G7" s="140" t="s">
        <x:v>121</x:v>
      </x:c>
    </x:row>
    <x:row r="8" ht="48" customHeight="1">
      <x:c r="A8" s="140" t="s">
        <x:v>122</x:v>
      </x:c>
      <x:c r="B8" s="140" t="s">
        <x:v>104</x:v>
      </x:c>
      <x:c r="C8" s="140" t="s">
        <x:v>123</x:v>
      </x:c>
      <x:c r="D8" s="140" t="s">
        <x:v>106</x:v>
      </x:c>
      <x:c r="E8" s="140" t="s">
        <x:v>107</x:v>
      </x:c>
      <x:c r="F8" s="140" t="s">
        <x:v>108</x:v>
      </x:c>
      <x:c r="G8" s="140" t="s">
        <x:v>109</x:v>
      </x:c>
    </x:row>
    <x:row r="9" ht="48" customHeight="1">
      <x:c r="A9" s="140" t="s">
        <x:v>124</x:v>
      </x:c>
      <x:c r="B9" s="140" t="s">
        <x:v>104</x:v>
      </x:c>
      <x:c r="C9" s="140" t="s">
        <x:v>125</x:v>
      </x:c>
      <x:c r="D9" s="140" t="s">
        <x:v>106</x:v>
      </x:c>
      <x:c r="E9" s="140" t="s">
        <x:v>107</x:v>
      </x:c>
      <x:c r="F9" s="140" t="s">
        <x:v>108</x:v>
      </x:c>
      <x:c r="G9" s="140" t="s">
        <x:v>109</x:v>
      </x:c>
    </x:row>
    <x:row r="10" ht="48" customHeight="1">
      <x:c r="A10" s="140" t="s">
        <x:v>126</x:v>
      </x:c>
      <x:c r="B10" s="140" t="s">
        <x:v>104</x:v>
      </x:c>
      <x:c r="C10" s="140" t="s">
        <x:v>127</x:v>
      </x:c>
      <x:c r="D10" s="140" t="s">
        <x:v>106</x:v>
      </x:c>
      <x:c r="E10" s="140" t="s">
        <x:v>107</x:v>
      </x:c>
      <x:c r="F10" s="140" t="s">
        <x:v>108</x:v>
      </x:c>
      <x:c r="G10" s="140" t="s">
        <x:v>109</x:v>
      </x:c>
    </x:row>
    <x:row r="11" ht="48" customHeight="1">
      <x:c r="A11" s="140" t="s">
        <x:v>128</x:v>
      </x:c>
      <x:c r="B11" s="140" t="s">
        <x:v>104</x:v>
      </x:c>
      <x:c r="C11" s="140" t="s">
        <x:v>129</x:v>
      </x:c>
      <x:c r="D11" s="140" t="s">
        <x:v>106</x:v>
      </x:c>
      <x:c r="E11" s="140" t="s">
        <x:v>107</x:v>
      </x:c>
      <x:c r="F11" s="140" t="s">
        <x:v>108</x:v>
      </x:c>
      <x:c r="G11" s="140" t="s">
        <x:v>109</x:v>
      </x:c>
    </x:row>
    <x:row r="12" ht="48" customHeight="1">
      <x:c r="A12" s="140" t="s">
        <x:v>130</x:v>
      </x:c>
      <x:c r="B12" s="140" t="s">
        <x:v>104</x:v>
      </x:c>
      <x:c r="C12" s="140" t="s">
        <x:v>131</x:v>
      </x:c>
      <x:c r="D12" s="140" t="s">
        <x:v>106</x:v>
      </x:c>
      <x:c r="E12" s="140" t="s">
        <x:v>107</x:v>
      </x:c>
      <x:c r="F12" s="140" t="s">
        <x:v>108</x:v>
      </x:c>
      <x:c r="G12" s="140" t="s">
        <x:v>109</x:v>
      </x:c>
    </x:row>
    <x:row r="13" ht="48" customHeight="1">
      <x:c r="A13" s="140" t="s">
        <x:v>132</x:v>
      </x:c>
      <x:c r="B13" s="140" t="s">
        <x:v>104</x:v>
      </x:c>
      <x:c r="C13" s="140" t="s">
        <x:v>133</x:v>
      </x:c>
      <x:c r="D13" s="140" t="s">
        <x:v>106</x:v>
      </x:c>
      <x:c r="E13" s="140" t="s">
        <x:v>120</x:v>
      </x:c>
      <x:c r="F13" s="140" t="s">
        <x:v>108</x:v>
      </x:c>
      <x:c r="G13" s="140" t="s">
        <x:v>121</x:v>
      </x:c>
    </x:row>
    <x:row r="14" ht="48" customHeight="1">
      <x:c r="A14" s="140" t="s">
        <x:v>134</x:v>
      </x:c>
      <x:c r="B14" s="140" t="s">
        <x:v>104</x:v>
      </x:c>
      <x:c r="C14" s="140" t="s">
        <x:v>135</x:v>
      </x:c>
      <x:c r="D14" s="140" t="s">
        <x:v>106</x:v>
      </x:c>
      <x:c r="E14" s="140" t="s">
        <x:v>107</x:v>
      </x:c>
      <x:c r="F14" s="140" t="s">
        <x:v>108</x:v>
      </x:c>
      <x:c r="G14" s="140" t="s">
        <x:v>109</x:v>
      </x:c>
    </x:row>
    <x:row r="15" ht="48" customHeight="1">
      <x:c r="A15" s="140" t="s">
        <x:v>136</x:v>
      </x:c>
      <x:c r="B15" s="140" t="s">
        <x:v>104</x:v>
      </x:c>
      <x:c r="C15" s="140" t="s">
        <x:v>137</x:v>
      </x:c>
      <x:c r="D15" s="140" t="s">
        <x:v>106</x:v>
      </x:c>
      <x:c r="E15" s="140" t="s">
        <x:v>107</x:v>
      </x:c>
      <x:c r="F15" s="140" t="s">
        <x:v>108</x:v>
      </x:c>
      <x:c r="G15" s="140" t="s">
        <x:v>109</x:v>
      </x:c>
    </x:row>
    <x:row r="16" ht="48" customHeight="1">
      <x:c r="A16" s="140" t="s">
        <x:v>138</x:v>
      </x:c>
      <x:c r="B16" s="140" t="s">
        <x:v>104</x:v>
      </x:c>
      <x:c r="C16" s="140" t="s">
        <x:v>139</x:v>
      </x:c>
      <x:c r="D16" s="140" t="s">
        <x:v>106</x:v>
      </x:c>
      <x:c r="E16" s="140" t="s">
        <x:v>107</x:v>
      </x:c>
      <x:c r="F16" s="140" t="s">
        <x:v>108</x:v>
      </x:c>
      <x:c r="G16" s="140" t="s">
        <x:v>109</x:v>
      </x:c>
    </x:row>
    <x:row r="17" ht="48" customHeight="1">
      <x:c r="A17" s="140" t="s">
        <x:v>140</x:v>
      </x:c>
      <x:c r="B17" s="140" t="s">
        <x:v>104</x:v>
      </x:c>
      <x:c r="C17" s="140" t="s">
        <x:v>141</x:v>
      </x:c>
      <x:c r="D17" s="140" t="s">
        <x:v>106</x:v>
      </x:c>
      <x:c r="E17" s="140" t="s">
        <x:v>107</x:v>
      </x:c>
      <x:c r="F17" s="140" t="s">
        <x:v>108</x:v>
      </x:c>
      <x:c r="G17" s="140" t="s">
        <x:v>109</x:v>
      </x:c>
    </x:row>
    <x:row r="18" ht="48" customHeight="1">
      <x:c r="A18" s="140" t="s">
        <x:v>142</x:v>
      </x:c>
      <x:c r="B18" s="140" t="s">
        <x:v>104</x:v>
      </x:c>
      <x:c r="C18" s="140" t="s">
        <x:v>143</x:v>
      </x:c>
      <x:c r="D18" s="140" t="s">
        <x:v>106</x:v>
      </x:c>
      <x:c r="E18" s="140" t="s">
        <x:v>107</x:v>
      </x:c>
      <x:c r="F18" s="140" t="s">
        <x:v>108</x:v>
      </x:c>
      <x:c r="G18" s="140" t="s">
        <x:v>109</x:v>
      </x:c>
    </x:row>
    <x:row r="19" ht="48" customHeight="1">
      <x:c r="A19" s="140" t="s">
        <x:v>144</x:v>
      </x:c>
      <x:c r="B19" s="140" t="s">
        <x:v>104</x:v>
      </x:c>
      <x:c r="C19" s="140" t="s">
        <x:v>145</x:v>
      </x:c>
      <x:c r="D19" s="140" t="s">
        <x:v>106</x:v>
      </x:c>
      <x:c r="E19" s="140" t="s">
        <x:v>120</x:v>
      </x:c>
      <x:c r="F19" s="140" t="s">
        <x:v>108</x:v>
      </x:c>
      <x:c r="G19" s="140" t="s">
        <x:v>121</x:v>
      </x:c>
    </x:row>
    <x:row r="20" ht="48" customHeight="1">
      <x:c r="A20" s="140" t="s">
        <x:v>146</x:v>
      </x:c>
      <x:c r="B20" s="140" t="s">
        <x:v>104</x:v>
      </x:c>
      <x:c r="C20" s="140" t="s">
        <x:v>147</x:v>
      </x:c>
      <x:c r="D20" s="140" t="s">
        <x:v>106</x:v>
      </x:c>
      <x:c r="E20" s="140" t="s">
        <x:v>107</x:v>
      </x:c>
      <x:c r="F20" s="140" t="s">
        <x:v>108</x:v>
      </x:c>
      <x:c r="G20" s="140" t="s">
        <x:v>109</x:v>
      </x:c>
    </x:row>
    <x:row r="21" ht="48" customHeight="1">
      <x:c r="A21" s="140" t="s">
        <x:v>148</x:v>
      </x:c>
      <x:c r="B21" s="140" t="s">
        <x:v>104</x:v>
      </x:c>
      <x:c r="C21" s="140" t="s">
        <x:v>149</x:v>
      </x:c>
      <x:c r="D21" s="140" t="s">
        <x:v>106</x:v>
      </x:c>
      <x:c r="E21" s="140" t="s">
        <x:v>107</x:v>
      </x:c>
      <x:c r="F21" s="140" t="s">
        <x:v>108</x:v>
      </x:c>
      <x:c r="G21" s="140" t="s">
        <x:v>109</x:v>
      </x:c>
    </x:row>
    <x:row r="22" ht="48" customHeight="1">
      <x:c r="A22" s="140" t="s">
        <x:v>150</x:v>
      </x:c>
      <x:c r="B22" s="140" t="s">
        <x:v>104</x:v>
      </x:c>
      <x:c r="C22" s="140" t="s">
        <x:v>151</x:v>
      </x:c>
      <x:c r="D22" s="140" t="s">
        <x:v>106</x:v>
      </x:c>
      <x:c r="E22" s="140" t="s">
        <x:v>107</x:v>
      </x:c>
      <x:c r="F22" s="140" t="s">
        <x:v>108</x:v>
      </x:c>
      <x:c r="G22" s="140" t="s">
        <x:v>109</x:v>
      </x:c>
    </x:row>
    <x:row r="23" ht="48" customHeight="1">
      <x:c r="A23" s="140" t="s">
        <x:v>152</x:v>
      </x:c>
      <x:c r="B23" s="140" t="s">
        <x:v>104</x:v>
      </x:c>
      <x:c r="C23" s="140" t="s">
        <x:v>153</x:v>
      </x:c>
      <x:c r="D23" s="140" t="s">
        <x:v>106</x:v>
      </x:c>
      <x:c r="E23" s="140" t="s">
        <x:v>107</x:v>
      </x:c>
      <x:c r="F23" s="140" t="s">
        <x:v>108</x:v>
      </x:c>
      <x:c r="G23" s="140" t="s">
        <x:v>109</x:v>
      </x:c>
    </x:row>
    <x:row r="24" ht="48" customHeight="1">
      <x:c r="A24" s="140" t="s">
        <x:v>154</x:v>
      </x:c>
      <x:c r="B24" s="140" t="s">
        <x:v>104</x:v>
      </x:c>
      <x:c r="C24" s="140" t="s">
        <x:v>155</x:v>
      </x:c>
      <x:c r="D24" s="140" t="s">
        <x:v>106</x:v>
      </x:c>
      <x:c r="E24" s="140" t="s">
        <x:v>107</x:v>
      </x:c>
      <x:c r="F24" s="140" t="s">
        <x:v>108</x:v>
      </x:c>
      <x:c r="G24" s="140" t="s">
        <x:v>109</x:v>
      </x:c>
    </x:row>
    <x:row r="25" ht="48" customHeight="1">
      <x:c r="A25" s="140" t="s">
        <x:v>156</x:v>
      </x:c>
      <x:c r="B25" s="140" t="s">
        <x:v>104</x:v>
      </x:c>
      <x:c r="C25" s="140" t="s">
        <x:v>157</x:v>
      </x:c>
      <x:c r="D25" s="140" t="s">
        <x:v>106</x:v>
      </x:c>
      <x:c r="E25" s="140" t="s">
        <x:v>120</x:v>
      </x:c>
      <x:c r="F25" s="140" t="s">
        <x:v>108</x:v>
      </x:c>
      <x:c r="G25" s="140" t="s">
        <x:v>121</x:v>
      </x:c>
    </x:row>
    <x:row r="26" ht="31.5" customHeight="1">
      <x:c r="A26" s="140" t="s">
        <x:v>158</x:v>
      </x:c>
      <x:c r="B26" s="140" t="s">
        <x:v>104</x:v>
      </x:c>
      <x:c r="C26" s="140" t="s">
        <x:v>159</x:v>
      </x:c>
      <x:c r="D26" s="140" t="s">
        <x:v>106</x:v>
      </x:c>
      <x:c r="E26" s="140" t="s">
        <x:v>160</x:v>
      </x:c>
      <x:c r="F26" s="140" t="s">
        <x:v>20</x:v>
      </x:c>
      <x:c r="G26" s="140" t="s">
        <x:v>161</x:v>
      </x:c>
    </x:row>
    <x:row r="27" ht="63.75" customHeight="1">
      <x:c r="A27" s="140" t="s">
        <x:v>162</x:v>
      </x:c>
      <x:c r="B27" s="140" t="s">
        <x:v>104</x:v>
      </x:c>
      <x:c r="C27" s="140" t="s">
        <x:v>163</x:v>
      </x:c>
      <x:c r="D27" s="140" t="s">
        <x:v>106</x:v>
      </x:c>
      <x:c r="E27" s="140" t="s">
        <x:v>164</x:v>
      </x:c>
      <x:c r="F27" s="140" t="s">
        <x:v>165</x:v>
      </x:c>
      <x:c r="G27" s="140" t="s">
        <x:v>166</x:v>
      </x:c>
    </x:row>
    <x:row r="28" ht="63.75" customHeight="1">
      <x:c r="A28" s="140" t="s">
        <x:v>167</x:v>
      </x:c>
      <x:c r="B28" s="140" t="s">
        <x:v>104</x:v>
      </x:c>
      <x:c r="C28" s="140" t="s">
        <x:v>168</x:v>
      </x:c>
      <x:c r="D28" s="140" t="s">
        <x:v>106</x:v>
      </x:c>
      <x:c r="E28" s="140" t="s">
        <x:v>164</x:v>
      </x:c>
      <x:c r="F28" s="140" t="s">
        <x:v>165</x:v>
      </x:c>
      <x:c r="G28" s="140" t="s">
        <x:v>169</x:v>
      </x:c>
    </x:row>
    <x:row r="29" ht="63.75" customHeight="1">
      <x:c r="A29" s="140" t="s">
        <x:v>170</x:v>
      </x:c>
      <x:c r="B29" s="140" t="s">
        <x:v>104</x:v>
      </x:c>
      <x:c r="C29" s="140" t="s">
        <x:v>171</x:v>
      </x:c>
      <x:c r="D29" s="140" t="s">
        <x:v>106</x:v>
      </x:c>
      <x:c r="E29" s="140" t="s">
        <x:v>164</x:v>
      </x:c>
      <x:c r="F29" s="140" t="s">
        <x:v>165</x:v>
      </x:c>
      <x:c r="G29" s="140" t="s">
        <x:v>172</x:v>
      </x:c>
    </x:row>
    <x:row r="30" ht="63.75" customHeight="1">
      <x:c r="A30" s="140" t="s">
        <x:v>173</x:v>
      </x:c>
      <x:c r="B30" s="140" t="s">
        <x:v>104</x:v>
      </x:c>
      <x:c r="C30" s="140" t="s">
        <x:v>174</x:v>
      </x:c>
      <x:c r="D30" s="140" t="s">
        <x:v>106</x:v>
      </x:c>
      <x:c r="E30" s="140" t="s">
        <x:v>164</x:v>
      </x:c>
      <x:c r="F30" s="140" t="s">
        <x:v>165</x:v>
      </x:c>
      <x:c r="G30" s="140" t="s">
        <x:v>175</x:v>
      </x:c>
    </x:row>
    <x:row r="31" ht="63.75" customHeight="1">
      <x:c r="A31" s="140" t="s">
        <x:v>176</x:v>
      </x:c>
      <x:c r="B31" s="140" t="s">
        <x:v>104</x:v>
      </x:c>
      <x:c r="C31" s="140" t="s">
        <x:v>177</x:v>
      </x:c>
      <x:c r="D31" s="140" t="s">
        <x:v>106</x:v>
      </x:c>
      <x:c r="E31" s="140" t="s">
        <x:v>164</x:v>
      </x:c>
      <x:c r="F31" s="140" t="s">
        <x:v>165</x:v>
      </x:c>
      <x:c r="G31" s="140" t="s">
        <x:v>178</x:v>
      </x:c>
    </x:row>
    <x:row r="32" ht="79.5" customHeight="1">
      <x:c r="A32" s="140" t="s">
        <x:v>179</x:v>
      </x:c>
      <x:c r="B32" s="140" t="s">
        <x:v>104</x:v>
      </x:c>
      <x:c r="C32" s="140" t="s">
        <x:v>72</x:v>
      </x:c>
      <x:c r="D32" s="140" t="s">
        <x:v>180</x:v>
      </x:c>
      <x:c r="E32" s="140" t="s">
        <x:v>181</x:v>
      </x:c>
      <x:c r="F32" s="140" t="s">
        <x:v>182</x:v>
      </x:c>
      <x:c r="G32" s="140" t="s">
        <x:v>183</x:v>
      </x:c>
    </x:row>
    <x:row r="33" ht="79.5" customHeight="1">
      <x:c r="A33" s="140" t="s">
        <x:v>184</x:v>
      </x:c>
      <x:c r="B33" s="140" t="s">
        <x:v>104</x:v>
      </x:c>
      <x:c r="C33" s="140" t="s">
        <x:v>72</x:v>
      </x:c>
      <x:c r="D33" s="140" t="s">
        <x:v>180</x:v>
      </x:c>
      <x:c r="E33" s="140" t="s">
        <x:v>181</x:v>
      </x:c>
      <x:c r="F33" s="140" t="s">
        <x:v>182</x:v>
      </x:c>
      <x:c r="G33" s="140" t="s">
        <x:v>183</x:v>
      </x:c>
    </x:row>
    <x:row r="34" ht="79.5" customHeight="1">
      <x:c r="A34" s="140" t="s">
        <x:v>185</x:v>
      </x:c>
      <x:c r="B34" s="140" t="s">
        <x:v>104</x:v>
      </x:c>
      <x:c r="C34" s="140" t="s">
        <x:v>72</x:v>
      </x:c>
      <x:c r="D34" s="140" t="s">
        <x:v>180</x:v>
      </x:c>
      <x:c r="E34" s="140" t="s">
        <x:v>181</x:v>
      </x:c>
      <x:c r="F34" s="140" t="s">
        <x:v>182</x:v>
      </x:c>
      <x:c r="G34" s="140" t="s">
        <x:v>183</x:v>
      </x:c>
    </x:row>
    <x:row r="35" ht="79.5" customHeight="1">
      <x:c r="A35" s="140" t="s">
        <x:v>186</x:v>
      </x:c>
      <x:c r="B35" s="140" t="s">
        <x:v>104</x:v>
      </x:c>
      <x:c r="C35" s="140" t="s">
        <x:v>72</x:v>
      </x:c>
      <x:c r="D35" s="140" t="s">
        <x:v>180</x:v>
      </x:c>
      <x:c r="E35" s="140" t="s">
        <x:v>181</x:v>
      </x:c>
      <x:c r="F35" s="140" t="s">
        <x:v>182</x:v>
      </x:c>
      <x:c r="G35" s="140" t="s">
        <x:v>183</x:v>
      </x:c>
    </x:row>
    <x:row r="36" ht="79.5" customHeight="1">
      <x:c r="A36" s="140" t="s">
        <x:v>187</x:v>
      </x:c>
      <x:c r="B36" s="140" t="s">
        <x:v>104</x:v>
      </x:c>
      <x:c r="C36" s="140" t="s">
        <x:v>72</x:v>
      </x:c>
      <x:c r="D36" s="140" t="s">
        <x:v>180</x:v>
      </x:c>
      <x:c r="E36" s="140" t="s">
        <x:v>181</x:v>
      </x:c>
      <x:c r="F36" s="140" t="s">
        <x:v>182</x:v>
      </x:c>
      <x:c r="G36" s="140" t="s">
        <x:v>183</x:v>
      </x:c>
    </x:row>
    <x:row r="37" ht="79.5" customHeight="1">
      <x:c r="A37" s="140" t="s">
        <x:v>188</x:v>
      </x:c>
      <x:c r="B37" s="140" t="s">
        <x:v>104</x:v>
      </x:c>
      <x:c r="C37" s="140" t="s">
        <x:v>72</x:v>
      </x:c>
      <x:c r="D37" s="140" t="s">
        <x:v>180</x:v>
      </x:c>
      <x:c r="E37" s="140" t="s">
        <x:v>181</x:v>
      </x:c>
      <x:c r="F37" s="140" t="s">
        <x:v>182</x:v>
      </x:c>
      <x:c r="G37" s="140" t="s">
        <x:v>183</x:v>
      </x:c>
    </x:row>
    <x:row r="38" ht="79.5" customHeight="1">
      <x:c r="A38" s="140" t="s">
        <x:v>189</x:v>
      </x:c>
      <x:c r="B38" s="140" t="s">
        <x:v>104</x:v>
      </x:c>
      <x:c r="C38" s="140" t="s">
        <x:v>72</x:v>
      </x:c>
      <x:c r="D38" s="140" t="s">
        <x:v>180</x:v>
      </x:c>
      <x:c r="E38" s="140" t="s">
        <x:v>181</x:v>
      </x:c>
      <x:c r="F38" s="140" t="s">
        <x:v>182</x:v>
      </x:c>
      <x:c r="G38" s="140" t="s">
        <x:v>183</x:v>
      </x:c>
    </x:row>
    <x:row r="39" ht="79.5" customHeight="1">
      <x:c r="A39" s="140" t="s">
        <x:v>190</x:v>
      </x:c>
      <x:c r="B39" s="140" t="s">
        <x:v>104</x:v>
      </x:c>
      <x:c r="C39" s="140" t="s">
        <x:v>72</x:v>
      </x:c>
      <x:c r="D39" s="140" t="s">
        <x:v>180</x:v>
      </x:c>
      <x:c r="E39" s="140" t="s">
        <x:v>181</x:v>
      </x:c>
      <x:c r="F39" s="140" t="s">
        <x:v>182</x:v>
      </x:c>
      <x:c r="G39" s="140" t="s">
        <x:v>183</x:v>
      </x:c>
    </x:row>
    <x:row r="40" ht="79.5" customHeight="1">
      <x:c r="A40" s="140" t="s">
        <x:v>191</x:v>
      </x:c>
      <x:c r="B40" s="140" t="s">
        <x:v>104</x:v>
      </x:c>
      <x:c r="C40" s="140" t="s">
        <x:v>72</x:v>
      </x:c>
      <x:c r="D40" s="140" t="s">
        <x:v>180</x:v>
      </x:c>
      <x:c r="E40" s="140" t="s">
        <x:v>181</x:v>
      </x:c>
      <x:c r="F40" s="140" t="s">
        <x:v>182</x:v>
      </x:c>
      <x:c r="G40" s="140" t="s">
        <x:v>183</x:v>
      </x:c>
    </x:row>
    <x:row r="41" ht="79.5" customHeight="1">
      <x:c r="A41" s="140" t="s">
        <x:v>192</x:v>
      </x:c>
      <x:c r="B41" s="140" t="s">
        <x:v>104</x:v>
      </x:c>
      <x:c r="C41" s="140" t="s">
        <x:v>72</x:v>
      </x:c>
      <x:c r="D41" s="140" t="s">
        <x:v>180</x:v>
      </x:c>
      <x:c r="E41" s="140" t="s">
        <x:v>181</x:v>
      </x:c>
      <x:c r="F41" s="140" t="s">
        <x:v>182</x:v>
      </x:c>
      <x:c r="G41" s="140" t="s">
        <x:v>183</x:v>
      </x:c>
    </x:row>
    <x:row r="42" ht="79.5" customHeight="1">
      <x:c r="A42" s="140" t="s">
        <x:v>193</x:v>
      </x:c>
      <x:c r="B42" s="140" t="s">
        <x:v>104</x:v>
      </x:c>
      <x:c r="C42" s="140" t="s">
        <x:v>72</x:v>
      </x:c>
      <x:c r="D42" s="140" t="s">
        <x:v>180</x:v>
      </x:c>
      <x:c r="E42" s="140" t="s">
        <x:v>181</x:v>
      </x:c>
      <x:c r="F42" s="140" t="s">
        <x:v>182</x:v>
      </x:c>
      <x:c r="G42" s="140" t="s">
        <x:v>183</x:v>
      </x:c>
    </x:row>
    <x:row r="43" ht="79.5" customHeight="1">
      <x:c r="A43" s="140" t="s">
        <x:v>194</x:v>
      </x:c>
      <x:c r="B43" s="140" t="s">
        <x:v>104</x:v>
      </x:c>
      <x:c r="C43" s="140" t="s">
        <x:v>72</x:v>
      </x:c>
      <x:c r="D43" s="140" t="s">
        <x:v>180</x:v>
      </x:c>
      <x:c r="E43" s="140" t="s">
        <x:v>181</x:v>
      </x:c>
      <x:c r="F43" s="140" t="s">
        <x:v>182</x:v>
      </x:c>
      <x:c r="G43" s="140" t="s">
        <x:v>183</x:v>
      </x:c>
    </x:row>
    <x:row r="44" ht="79.5" customHeight="1">
      <x:c r="A44" s="140" t="s">
        <x:v>195</x:v>
      </x:c>
      <x:c r="B44" s="140" t="s">
        <x:v>104</x:v>
      </x:c>
      <x:c r="C44" s="140" t="s">
        <x:v>72</x:v>
      </x:c>
      <x:c r="D44" s="140" t="s">
        <x:v>180</x:v>
      </x:c>
      <x:c r="E44" s="140" t="s">
        <x:v>181</x:v>
      </x:c>
      <x:c r="F44" s="140" t="s">
        <x:v>182</x:v>
      </x:c>
      <x:c r="G44" s="140" t="s">
        <x:v>183</x:v>
      </x:c>
    </x:row>
    <x:row r="45" ht="79.5" customHeight="1">
      <x:c r="A45" s="140" t="s">
        <x:v>196</x:v>
      </x:c>
      <x:c r="B45" s="140" t="s">
        <x:v>104</x:v>
      </x:c>
      <x:c r="C45" s="140" t="s">
        <x:v>72</x:v>
      </x:c>
      <x:c r="D45" s="140" t="s">
        <x:v>180</x:v>
      </x:c>
      <x:c r="E45" s="140" t="s">
        <x:v>181</x:v>
      </x:c>
      <x:c r="F45" s="140" t="s">
        <x:v>182</x:v>
      </x:c>
      <x:c r="G45" s="140" t="s">
        <x:v>183</x:v>
      </x:c>
    </x:row>
    <x:row r="46" ht="79.5" customHeight="1">
      <x:c r="A46" s="140" t="s">
        <x:v>197</x:v>
      </x:c>
      <x:c r="B46" s="140" t="s">
        <x:v>104</x:v>
      </x:c>
      <x:c r="C46" s="140" t="s">
        <x:v>72</x:v>
      </x:c>
      <x:c r="D46" s="140" t="s">
        <x:v>180</x:v>
      </x:c>
      <x:c r="E46" s="140" t="s">
        <x:v>181</x:v>
      </x:c>
      <x:c r="F46" s="140" t="s">
        <x:v>182</x:v>
      </x:c>
      <x:c r="G46" s="140" t="s">
        <x:v>183</x:v>
      </x:c>
    </x:row>
    <x:row r="47" ht="79.5" customHeight="1">
      <x:c r="A47" s="140" t="s">
        <x:v>198</x:v>
      </x:c>
      <x:c r="B47" s="140" t="s">
        <x:v>104</x:v>
      </x:c>
      <x:c r="C47" s="140" t="s">
        <x:v>72</x:v>
      </x:c>
      <x:c r="D47" s="140" t="s">
        <x:v>180</x:v>
      </x:c>
      <x:c r="E47" s="140" t="s">
        <x:v>181</x:v>
      </x:c>
      <x:c r="F47" s="140" t="s">
        <x:v>182</x:v>
      </x:c>
      <x:c r="G47" s="140" t="s">
        <x:v>183</x:v>
      </x:c>
    </x:row>
    <x:row r="48" ht="79.5" customHeight="1">
      <x:c r="A48" s="140" t="s">
        <x:v>199</x:v>
      </x:c>
      <x:c r="B48" s="140" t="s">
        <x:v>104</x:v>
      </x:c>
      <x:c r="C48" s="140" t="s">
        <x:v>72</x:v>
      </x:c>
      <x:c r="D48" s="140" t="s">
        <x:v>180</x:v>
      </x:c>
      <x:c r="E48" s="140" t="s">
        <x:v>181</x:v>
      </x:c>
      <x:c r="F48" s="140" t="s">
        <x:v>182</x:v>
      </x:c>
      <x:c r="G48" s="140" t="s">
        <x:v>183</x:v>
      </x:c>
    </x:row>
    <x:row r="49" ht="79.5" customHeight="1">
      <x:c r="A49" s="140" t="s">
        <x:v>200</x:v>
      </x:c>
      <x:c r="B49" s="140" t="s">
        <x:v>104</x:v>
      </x:c>
      <x:c r="C49" s="140" t="s">
        <x:v>72</x:v>
      </x:c>
      <x:c r="D49" s="140" t="s">
        <x:v>180</x:v>
      </x:c>
      <x:c r="E49" s="140" t="s">
        <x:v>181</x:v>
      </x:c>
      <x:c r="F49" s="140" t="s">
        <x:v>182</x:v>
      </x:c>
      <x:c r="G49" s="140" t="s">
        <x:v>183</x:v>
      </x:c>
    </x:row>
    <x:row r="50" ht="79.5" customHeight="1">
      <x:c r="A50" s="140" t="s">
        <x:v>201</x:v>
      </x:c>
      <x:c r="B50" s="140" t="s">
        <x:v>104</x:v>
      </x:c>
      <x:c r="C50" s="140" t="s">
        <x:v>72</x:v>
      </x:c>
      <x:c r="D50" s="140" t="s">
        <x:v>180</x:v>
      </x:c>
      <x:c r="E50" s="140" t="s">
        <x:v>181</x:v>
      </x:c>
      <x:c r="F50" s="140" t="s">
        <x:v>182</x:v>
      </x:c>
      <x:c r="G50" s="140" t="s">
        <x:v>183</x:v>
      </x:c>
    </x:row>
    <x:row r="51" ht="79.5" customHeight="1">
      <x:c r="A51" s="140" t="s">
        <x:v>202</x:v>
      </x:c>
      <x:c r="B51" s="140" t="s">
        <x:v>104</x:v>
      </x:c>
      <x:c r="C51" s="140" t="s">
        <x:v>72</x:v>
      </x:c>
      <x:c r="D51" s="140" t="s">
        <x:v>180</x:v>
      </x:c>
      <x:c r="E51" s="140" t="s">
        <x:v>181</x:v>
      </x:c>
      <x:c r="F51" s="140" t="s">
        <x:v>182</x:v>
      </x:c>
      <x:c r="G51" s="140" t="s">
        <x:v>183</x:v>
      </x:c>
    </x:row>
    <x:row r="52" ht="79.5" customHeight="1">
      <x:c r="A52" s="140" t="s">
        <x:v>203</x:v>
      </x:c>
      <x:c r="B52" s="140" t="s">
        <x:v>104</x:v>
      </x:c>
      <x:c r="C52" s="140" t="s">
        <x:v>72</x:v>
      </x:c>
      <x:c r="D52" s="140" t="s">
        <x:v>180</x:v>
      </x:c>
      <x:c r="E52" s="140" t="s">
        <x:v>181</x:v>
      </x:c>
      <x:c r="F52" s="140" t="s">
        <x:v>182</x:v>
      </x:c>
      <x:c r="G52" s="140" t="s">
        <x:v>183</x:v>
      </x:c>
    </x:row>
    <x:row r="53" ht="79.5" customHeight="1">
      <x:c r="A53" s="140" t="s">
        <x:v>204</x:v>
      </x:c>
      <x:c r="B53" s="140" t="s">
        <x:v>104</x:v>
      </x:c>
      <x:c r="C53" s="140" t="s">
        <x:v>72</x:v>
      </x:c>
      <x:c r="D53" s="140" t="s">
        <x:v>180</x:v>
      </x:c>
      <x:c r="E53" s="140" t="s">
        <x:v>181</x:v>
      </x:c>
      <x:c r="F53" s="140" t="s">
        <x:v>182</x:v>
      </x:c>
      <x:c r="G53" s="140" t="s">
        <x:v>183</x:v>
      </x:c>
    </x:row>
    <x:row r="54" ht="79.5" customHeight="1">
      <x:c r="A54" s="140" t="s">
        <x:v>205</x:v>
      </x:c>
      <x:c r="B54" s="140" t="s">
        <x:v>104</x:v>
      </x:c>
      <x:c r="C54" s="140" t="s">
        <x:v>72</x:v>
      </x:c>
      <x:c r="D54" s="140" t="s">
        <x:v>180</x:v>
      </x:c>
      <x:c r="E54" s="140" t="s">
        <x:v>181</x:v>
      </x:c>
      <x:c r="F54" s="140" t="s">
        <x:v>182</x:v>
      </x:c>
      <x:c r="G54" s="140" t="s">
        <x:v>183</x:v>
      </x:c>
    </x:row>
    <x:row r="55" ht="79.5" customHeight="1">
      <x:c r="A55" s="140" t="s">
        <x:v>206</x:v>
      </x:c>
      <x:c r="B55" s="140" t="s">
        <x:v>104</x:v>
      </x:c>
      <x:c r="C55" s="140" t="s">
        <x:v>72</x:v>
      </x:c>
      <x:c r="D55" s="140" t="s">
        <x:v>180</x:v>
      </x:c>
      <x:c r="E55" s="140" t="s">
        <x:v>181</x:v>
      </x:c>
      <x:c r="F55" s="140" t="s">
        <x:v>182</x:v>
      </x:c>
      <x:c r="G55" s="140" t="s">
        <x:v>183</x:v>
      </x:c>
    </x:row>
    <x:row r="56" ht="79.5" customHeight="1">
      <x:c r="A56" s="140" t="s">
        <x:v>207</x:v>
      </x:c>
      <x:c r="B56" s="140" t="s">
        <x:v>104</x:v>
      </x:c>
      <x:c r="C56" s="140" t="s">
        <x:v>72</x:v>
      </x:c>
      <x:c r="D56" s="140" t="s">
        <x:v>180</x:v>
      </x:c>
      <x:c r="E56" s="140" t="s">
        <x:v>181</x:v>
      </x:c>
      <x:c r="F56" s="140" t="s">
        <x:v>182</x:v>
      </x:c>
      <x:c r="G56" s="140" t="s">
        <x:v>183</x:v>
      </x:c>
    </x:row>
    <x:row r="57" ht="79.5" customHeight="1">
      <x:c r="A57" s="140" t="s">
        <x:v>208</x:v>
      </x:c>
      <x:c r="B57" s="140" t="s">
        <x:v>104</x:v>
      </x:c>
      <x:c r="C57" s="140" t="s">
        <x:v>72</x:v>
      </x:c>
      <x:c r="D57" s="140" t="s">
        <x:v>180</x:v>
      </x:c>
      <x:c r="E57" s="140" t="s">
        <x:v>181</x:v>
      </x:c>
      <x:c r="F57" s="140" t="s">
        <x:v>182</x:v>
      </x:c>
      <x:c r="G57" s="140" t="s">
        <x:v>183</x:v>
      </x:c>
    </x:row>
    <x:row r="58" ht="79.5" customHeight="1">
      <x:c r="A58" s="140" t="s">
        <x:v>209</x:v>
      </x:c>
      <x:c r="B58" s="140" t="s">
        <x:v>104</x:v>
      </x:c>
      <x:c r="C58" s="140" t="s">
        <x:v>72</x:v>
      </x:c>
      <x:c r="D58" s="140" t="s">
        <x:v>180</x:v>
      </x:c>
      <x:c r="E58" s="140" t="s">
        <x:v>181</x:v>
      </x:c>
      <x:c r="F58" s="140" t="s">
        <x:v>182</x:v>
      </x:c>
      <x:c r="G58" s="140" t="s">
        <x:v>183</x:v>
      </x:c>
    </x:row>
    <x:row r="59" ht="79.5" customHeight="1">
      <x:c r="A59" s="140" t="s">
        <x:v>210</x:v>
      </x:c>
      <x:c r="B59" s="140" t="s">
        <x:v>104</x:v>
      </x:c>
      <x:c r="C59" s="140" t="s">
        <x:v>72</x:v>
      </x:c>
      <x:c r="D59" s="140" t="s">
        <x:v>180</x:v>
      </x:c>
      <x:c r="E59" s="140" t="s">
        <x:v>181</x:v>
      </x:c>
      <x:c r="F59" s="140" t="s">
        <x:v>182</x:v>
      </x:c>
      <x:c r="G59" s="140" t="s">
        <x:v>183</x:v>
      </x:c>
    </x:row>
    <x:row r="60" ht="79.5" customHeight="1">
      <x:c r="A60" s="140" t="s">
        <x:v>211</x:v>
      </x:c>
      <x:c r="B60" s="140" t="s">
        <x:v>104</x:v>
      </x:c>
      <x:c r="C60" s="140" t="s">
        <x:v>72</x:v>
      </x:c>
      <x:c r="D60" s="140" t="s">
        <x:v>180</x:v>
      </x:c>
      <x:c r="E60" s="140" t="s">
        <x:v>181</x:v>
      </x:c>
      <x:c r="F60" s="140" t="s">
        <x:v>182</x:v>
      </x:c>
      <x:c r="G60" s="140" t="s">
        <x:v>183</x:v>
      </x:c>
    </x:row>
    <x:row r="61" ht="79.5" customHeight="1">
      <x:c r="A61" s="140" t="s">
        <x:v>212</x:v>
      </x:c>
      <x:c r="B61" s="140" t="s">
        <x:v>104</x:v>
      </x:c>
      <x:c r="C61" s="140" t="s">
        <x:v>72</x:v>
      </x:c>
      <x:c r="D61" s="140" t="s">
        <x:v>180</x:v>
      </x:c>
      <x:c r="E61" s="140" t="s">
        <x:v>181</x:v>
      </x:c>
      <x:c r="F61" s="140" t="s">
        <x:v>182</x:v>
      </x:c>
      <x:c r="G61" s="140" t="s">
        <x:v>183</x:v>
      </x:c>
    </x:row>
    <x:row r="62" ht="79.5" customHeight="1">
      <x:c r="A62" s="140" t="s">
        <x:v>213</x:v>
      </x:c>
      <x:c r="B62" s="140" t="s">
        <x:v>104</x:v>
      </x:c>
      <x:c r="C62" s="140" t="s">
        <x:v>72</x:v>
      </x:c>
      <x:c r="D62" s="140" t="s">
        <x:v>180</x:v>
      </x:c>
      <x:c r="E62" s="140" t="s">
        <x:v>181</x:v>
      </x:c>
      <x:c r="F62" s="140" t="s">
        <x:v>182</x:v>
      </x:c>
      <x:c r="G62" s="140" t="s">
        <x:v>183</x:v>
      </x:c>
    </x:row>
    <x:row r="63" ht="79.5" customHeight="1">
      <x:c r="A63" s="140" t="s">
        <x:v>214</x:v>
      </x:c>
      <x:c r="B63" s="140" t="s">
        <x:v>104</x:v>
      </x:c>
      <x:c r="C63" s="140" t="s">
        <x:v>72</x:v>
      </x:c>
      <x:c r="D63" s="140" t="s">
        <x:v>180</x:v>
      </x:c>
      <x:c r="E63" s="140" t="s">
        <x:v>181</x:v>
      </x:c>
      <x:c r="F63" s="140" t="s">
        <x:v>182</x:v>
      </x:c>
      <x:c r="G63" s="140" t="s">
        <x:v>183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10" defaultColWidth="8.77734375" defaultRowHeight="14.399999618530273"/>
  <x:cols>
    <x:col min="1" max="1" width="18" customWidth="1"/>
    <x:col min="2" max="2" width="12" customWidth="1"/>
    <x:col min="3" max="13" width="11" customWidth="1"/>
  </x:cols>
  <x:sheetData>
    <x:row r="1">
      <x:c r="A1" s="141" t="s">
        <x:v>75</x:v>
      </x:c>
      <x:c r="B1" s="141" t="s">
        <x:v>6</x:v>
      </x:c>
      <x:c r="C1" s="141">
        <x:v>2015</x:v>
      </x:c>
      <x:c r="D1" s="141">
        <x:v>2016</x:v>
      </x:c>
      <x:c r="E1" s="141">
        <x:v>2017</x:v>
      </x:c>
      <x:c r="F1" s="141">
        <x:v>2018</x:v>
      </x:c>
      <x:c r="G1" s="141">
        <x:v>2019</x:v>
      </x:c>
      <x:c r="H1" s="141">
        <x:v>2020</x:v>
      </x:c>
      <x:c r="I1" s="141">
        <x:v>2021</x:v>
      </x:c>
      <x:c r="J1" s="141">
        <x:v>2022</x:v>
      </x:c>
      <x:c r="K1" s="141">
        <x:v>2023</x:v>
      </x:c>
      <x:c r="L1" s="141">
        <x:v>2024</x:v>
      </x:c>
      <x:c r="M1" s="141">
        <x:v>2025</x:v>
      </x:c>
    </x:row>
    <x:row r="2">
      <x:c r="A2" s="140" t="str">
        <x:v>TR_total</x:v>
      </x:c>
      <x:c r="B2" s="140" t="str">
        <x:v>Todas</x:v>
      </x:c>
      <x:c r="C2" s="142" t="n">
        <x:f>'Desarrollo de indicadores'!E2</x:f>
        <x:v>0.085</x:v>
      </x:c>
      <x:c r="D2" s="142" t="n">
        <x:f>'Desarrollo de indicadores'!F2</x:f>
        <x:v>0.085</x:v>
      </x:c>
      <x:c r="E2" s="142" t="n">
        <x:f>'Desarrollo de indicadores'!G2</x:f>
        <x:v>0.085</x:v>
      </x:c>
      <x:c r="F2" s="142" t="n">
        <x:f>'Desarrollo de indicadores'!H2</x:f>
        <x:v>0.085</x:v>
      </x:c>
      <x:c r="G2" s="142" t="n">
        <x:f>'Desarrollo de indicadores'!I2</x:f>
        <x:v>0.0905</x:v>
      </x:c>
      <x:c r="H2" s="142" t="n">
        <x:f>'Desarrollo de indicadores'!J2</x:f>
        <x:v>0.096</x:v>
      </x:c>
      <x:c r="I2" s="142" t="n">
        <x:f>'Desarrollo de indicadores'!K2</x:f>
        <x:v>0.087</x:v>
      </x:c>
      <x:c r="J2" s="142" t="n">
        <x:f>'Desarrollo de indicadores'!L2</x:f>
        <x:v>0.078</x:v>
      </x:c>
      <x:c r="K2" s="142" t="n">
        <x:f>'Desarrollo de indicadores'!M2</x:f>
        <x:v>0.0905</x:v>
      </x:c>
      <x:c r="L2" s="142" t="n">
        <x:f>'Desarrollo de indicadores'!N2</x:f>
        <x:v>0.103</x:v>
      </x:c>
      <x:c r="M2" s="142" t="n">
        <x:f>'Desarrollo de indicadores'!O2</x:f>
        <x:v>0.103</x:v>
      </x:c>
    </x:row>
    <x:row r="3">
      <x:c r="A3" s="140" t="str">
        <x:v>TR_packaging</x:v>
      </x:c>
      <x:c r="B3" s="140" t="str">
        <x:v>Envases</x:v>
      </x:c>
      <x:c r="C3" s="142" t="n">
        <x:f>'Desarrollo de indicadores'!E3</x:f>
        <x:v>0.07</x:v>
      </x:c>
      <x:c r="D3" s="142" t="n">
        <x:f>'Desarrollo de indicadores'!F3</x:f>
        <x:v>0.07</x:v>
      </x:c>
      <x:c r="E3" s="142" t="n">
        <x:f>'Desarrollo de indicadores'!G3</x:f>
        <x:v>0.07</x:v>
      </x:c>
      <x:c r="F3" s="142" t="n">
        <x:f>'Desarrollo de indicadores'!H3</x:f>
        <x:v>0.07</x:v>
      </x:c>
      <x:c r="G3" s="142" t="n">
        <x:f>'Desarrollo de indicadores'!I3</x:f>
        <x:v>0.08</x:v>
      </x:c>
      <x:c r="H3" s="142" t="n">
        <x:f>'Desarrollo de indicadores'!J3</x:f>
        <x:v>0.09</x:v>
      </x:c>
      <x:c r="I3" s="142" t="n">
        <x:f>'Desarrollo de indicadores'!K3</x:f>
        <x:v>0.1</x:v>
      </x:c>
      <x:c r="J3" s="142" t="n">
        <x:f>'Desarrollo de indicadores'!L3</x:f>
        <x:v>0.11</x:v>
      </x:c>
      <x:c r="K3" s="142" t="n">
        <x:f>'Desarrollo de indicadores'!M3</x:f>
        <x:v>0.12</x:v>
      </x:c>
      <x:c r="L3" s="142" t="n">
        <x:f>'Desarrollo de indicadores'!N3</x:f>
        <x:v>0.13</x:v>
      </x:c>
      <x:c r="M3" s="142" t="n">
        <x:f>'Desarrollo de indicadores'!O3</x:f>
        <x:v>0.14</x:v>
      </x:c>
    </x:row>
    <x:row r="4">
      <x:c r="A4" s="140" t="str">
        <x:v>Tgr</x:v>
      </x:c>
      <x:c r="B4" s="140" t="str">
        <x:v>Envases</x:v>
      </x:c>
      <x:c r="C4" s="142" t="n">
        <x:f>'Desarrollo de indicadores'!E4</x:f>
        <x:v>23.29835643194049</x:v>
      </x:c>
      <x:c r="D4" s="142" t="n">
        <x:f>'Desarrollo de indicadores'!F4</x:f>
        <x:v>24.437214615184214</x:v>
      </x:c>
      <x:c r="E4" s="142" t="n">
        <x:f>'Desarrollo de indicadores'!G4</x:f>
        <x:v>22.734145207563305</x:v>
      </x:c>
      <x:c r="F4" s="142" t="n">
        <x:f>'Desarrollo de indicadores'!H4</x:f>
        <x:v>24.720016856866582</x:v>
      </x:c>
      <x:c r="G4" s="142" t="n">
        <x:f>'Desarrollo de indicadores'!I4</x:f>
        <x:v>23.97781739354374</x:v>
      </x:c>
      <x:c r="H4" s="142" t="n">
        <x:f>'Desarrollo de indicadores'!J4</x:f>
        <x:v>23.61514012145401</x:v>
      </x:c>
      <x:c r="I4" s="142" t="n">
        <x:f>'Desarrollo de indicadores'!K4</x:f>
        <x:v>32.91061923587455</x:v>
      </x:c>
      <x:c r="J4" s="142" t="n">
        <x:f>'Desarrollo de indicadores'!L4</x:f>
        <x:v>30.882160703841592</x:v>
      </x:c>
      <x:c r="K4" s="142" t="n">
        <x:f>'Desarrollo de indicadores'!M4</x:f>
        <x:v>28.20106074444391</x:v>
      </x:c>
      <x:c r="L4" s="142" t="n">
        <x:f>'Desarrollo de indicadores'!N4</x:f>
        <x:v>30.065615230249822</x:v>
      </x:c>
      <x:c r="M4" s="142" t="n">
        <x:f>'Desarrollo de indicadores'!O4</x:f>
        <x:v>32.3626664980188</x:v>
      </x:c>
    </x:row>
    <x:row r="5">
      <x:c r="A5" s="140" t="str">
        <x:v>IC_REP_est</x:v>
      </x:c>
      <x:c r="B5" s="140" t="str">
        <x:v>Envases</x:v>
      </x:c>
      <x:c r="C5" s="142"/>
      <x:c r="D5" s="142"/>
      <x:c r="E5" s="142"/>
      <x:c r="F5" s="142"/>
      <x:c r="G5" s="142"/>
      <x:c r="H5" s="142"/>
      <x:c r="I5" s="142"/>
      <x:c r="J5" s="142"/>
      <x:c r="K5" s="142" t="n">
        <x:f>'Desarrollo de indicadores'!M6</x:f>
        <x:v>0.8474990827932005</x:v>
      </x:c>
      <x:c r="L5" s="142" t="n">
        <x:f>'Desarrollo de indicadores'!N6</x:f>
        <x:v>0.819658772599949</x:v>
      </x:c>
      <x:c r="M5" s="142" t="n">
        <x:f>'Desarrollo de indicadores'!O6</x:f>
        <x:v>0.6882802173593773</x:v>
      </x:c>
    </x:row>
    <x:row r="6">
      <x:c r="A6" s="140" t="str">
        <x:v>MCI</x:v>
      </x:c>
      <x:c r="B6" s="140" t="str">
        <x:v>No calculado</x:v>
      </x:c>
      <x:c r="C6" s="142"/>
      <x:c r="D6" s="142"/>
      <x:c r="E6" s="142"/>
      <x:c r="F6" s="142"/>
      <x:c r="G6" s="142"/>
      <x:c r="H6" s="142"/>
      <x:c r="I6" s="142"/>
      <x:c r="J6" s="142"/>
      <x:c r="K6" s="142"/>
      <x:c r="L6" s="142"/>
      <x:c r="M6" s="142"/>
    </x:row>
    <x:row r="7">
      <x:c r="A7" s="140" t="str">
        <x:v>eC</x:v>
      </x:c>
      <x:c r="B7" s="140" t="str">
        <x:v>PET</x:v>
      </x:c>
      <x:c r="C7" s="142" t="n">
        <x:f>'Desarrollo de indicadores'!E14</x:f>
        <x:v>0.1295468914646997</x:v>
      </x:c>
      <x:c r="D7" s="142" t="n">
        <x:f>'Desarrollo de indicadores'!F14</x:f>
        <x:v>0.12831645965974325</x:v>
      </x:c>
      <x:c r="E7" s="142" t="n">
        <x:f>'Desarrollo de indicadores'!G14</x:f>
        <x:v>0.11631720430107527</x:v>
      </x:c>
      <x:c r="F7" s="142" t="n">
        <x:f>'Desarrollo de indicadores'!H14</x:f>
        <x:v>0.13858834244080145</x:v>
      </x:c>
      <x:c r="G7" s="142" t="n">
        <x:f>'Desarrollo de indicadores'!I14</x:f>
        <x:v>0.1689433237271854</x:v>
      </x:c>
      <x:c r="H7" s="142" t="n">
        <x:f>'Desarrollo de indicadores'!J14</x:f>
        <x:v>0.18739109153206068</x:v>
      </x:c>
      <x:c r="I7" s="142" t="n">
        <x:f>'Desarrollo de indicadores'!K14</x:f>
        <x:v>0.204911838790932</x:v>
      </x:c>
      <x:c r="J7" s="142" t="n">
        <x:f>'Desarrollo de indicadores'!L14</x:f>
        <x:v>0.21550660792951543</x:v>
      </x:c>
      <x:c r="K7" s="142" t="n">
        <x:f>'Desarrollo de indicadores'!M14</x:f>
        <x:v>0.24643939393939393</x:v>
      </x:c>
      <x:c r="L7" s="142" t="n">
        <x:f>'Desarrollo de indicadores'!N14</x:f>
        <x:v>0.21926115737774926</x:v>
      </x:c>
      <x:c r="M7" s="142" t="n">
        <x:f>'Desarrollo de indicadores'!O14</x:f>
        <x:v>0.20301959016458265</x:v>
      </x:c>
    </x:row>
    <x:row r="8">
      <x:c r="A8" s="140" t="str">
        <x:v>eC</x:v>
      </x:c>
      <x:c r="B8" s="140" t="str">
        <x:v>PP</x:v>
      </x:c>
      <x:c r="C8" s="142" t="n">
        <x:f>'Desarrollo de indicadores'!E15</x:f>
        <x:v>0.22561643835616438</x:v>
      </x:c>
      <x:c r="D8" s="142" t="n">
        <x:f>'Desarrollo de indicadores'!F15</x:f>
        <x:v>0.1583653846153846</x:v>
      </x:c>
      <x:c r="E8" s="142" t="n">
        <x:f>'Desarrollo de indicadores'!G15</x:f>
        <x:v>0.1377049180327869</x:v>
      </x:c>
      <x:c r="F8" s="142" t="n">
        <x:f>'Desarrollo de indicadores'!H15</x:f>
        <x:v>0.014332152913189448</x:v>
      </x:c>
      <x:c r="G8" s="142" t="n">
        <x:f>'Desarrollo de indicadores'!I15</x:f>
        <x:v>0.014802333041816348</x:v>
      </x:c>
      <x:c r="H8" s="142" t="n">
        <x:f>'Desarrollo de indicadores'!J15</x:f>
        <x:v>0.3491631353777625</x:v>
      </x:c>
      <x:c r="I8" s="142" t="n">
        <x:f>'Desarrollo de indicadores'!K15</x:f>
        <x:v>0.35411585398736606</x:v>
      </x:c>
      <x:c r="J8" s="142" t="n">
        <x:f>'Desarrollo de indicadores'!L15</x:f>
        <x:v>0.3678623872456471</x:v>
      </x:c>
      <x:c r="K8" s="142" t="n">
        <x:f>'Desarrollo de indicadores'!M15</x:f>
        <x:v>0.3089516129032258</x:v>
      </x:c>
      <x:c r="L8" s="142" t="n">
        <x:f>'Desarrollo de indicadores'!N15</x:f>
        <x:v>0.3193125</x:v>
      </x:c>
      <x:c r="M8" s="142" t="n">
        <x:f>'Desarrollo de indicadores'!O15</x:f>
        <x:v>0.2654025974025974</x:v>
      </x:c>
    </x:row>
    <x:row r="9">
      <x:c r="A9" s="140" t="str">
        <x:v>eC</x:v>
      </x:c>
      <x:c r="B9" s="140" t="str">
        <x:v>PE</x:v>
      </x:c>
      <x:c r="C9" s="142" t="n">
        <x:f>'Desarrollo de indicadores'!E16</x:f>
        <x:v>0.12463013698630138</x:v>
      </x:c>
      <x:c r="D9" s="142" t="n">
        <x:f>'Desarrollo de indicadores'!F16</x:f>
        <x:v>0.12368882175226587</x:v>
      </x:c>
      <x:c r="E9" s="142" t="n">
        <x:f>'Desarrollo de indicadores'!G16</x:f>
        <x:v>0.1273170731707317</x:v>
      </x:c>
      <x:c r="F9" s="142" t="n">
        <x:f>'Desarrollo de indicadores'!H16</x:f>
        <x:v>0.11966222279903717</x:v>
      </x:c>
      <x:c r="G9" s="142" t="n">
        <x:f>'Desarrollo de indicadores'!I16</x:f>
        <x:v>0.1182200941819562</x:v>
      </x:c>
      <x:c r="H9" s="142" t="n">
        <x:f>'Desarrollo de indicadores'!J16</x:f>
        <x:v>0.12155005217164389</x:v>
      </x:c>
      <x:c r="I9" s="142" t="n">
        <x:f>'Desarrollo de indicadores'!K16</x:f>
        <x:v>0.1198403088148105</x:v>
      </x:c>
      <x:c r="J9" s="142" t="n">
        <x:f>'Desarrollo de indicadores'!L16</x:f>
        <x:v>0.13811921244268632</x:v>
      </x:c>
      <x:c r="K9" s="142" t="n">
        <x:f>'Desarrollo de indicadores'!M16</x:f>
        <x:v>0.1571391454965358</x:v>
      </x:c>
      <x:c r="L9" s="142" t="n">
        <x:f>'Desarrollo de indicadores'!N16</x:f>
        <x:v>0.16852433281004708</x:v>
      </x:c>
      <x:c r="M9" s="142" t="n">
        <x:f>'Desarrollo de indicadores'!O16</x:f>
        <x:v>0.1623781512605042</x:v>
      </x:c>
    </x:row>
    <x:row r="10">
      <x:c r="A10" s="140" t="str">
        <x:v>IRP</x:v>
      </x:c>
      <x:c r="B10" s="140" t="str">
        <x:v>PET</x:v>
      </x:c>
      <x:c r="C10" s="142" t="n">
        <x:f>'Desarrollo de indicadores'!E17</x:f>
        <x:v>0.02987442</x:v>
      </x:c>
      <x:c r="D10" s="142" t="n">
        <x:f>'Desarrollo de indicadores'!F17</x:f>
        <x:v>0.02987442</x:v>
      </x:c>
      <x:c r="E10" s="142" t="n">
        <x:f>'Desarrollo de indicadores'!G17</x:f>
        <x:v>0.03154383</x:v>
      </x:c>
      <x:c r="F10" s="142" t="n">
        <x:f>'Desarrollo de indicadores'!H17</x:f>
        <x:v>0.03697731</x:v>
      </x:c>
      <x:c r="G10" s="142" t="n">
        <x:f>'Desarrollo de indicadores'!I17</x:f>
        <x:v>0.04273641</x:v>
      </x:c>
      <x:c r="H10" s="142" t="n">
        <x:f>'Desarrollo de indicadores'!J17</x:f>
        <x:v>0.04651506</x:v>
      </x:c>
      <x:c r="I10" s="142" t="n">
        <x:f>'Desarrollo de indicadores'!K17</x:f>
        <x:v>0.05930415</x:v>
      </x:c>
      <x:c r="J10" s="142" t="n">
        <x:f>'Desarrollo de indicadores'!L17</x:f>
        <x:v>0.05349402</x:v>
      </x:c>
      <x:c r="K10" s="142" t="n">
        <x:f>'Desarrollo de indicadores'!M17</x:f>
        <x:v>0.05533353</x:v>
      </x:c>
      <x:c r="L10" s="142" t="n">
        <x:f>'Desarrollo de indicadores'!N17</x:f>
        <x:v>0.04990248</x:v>
      </x:c>
      <x:c r="M10" s="142" t="n">
        <x:f>'Desarrollo de indicadores'!O17</x:f>
        <x:v>0.04990248</x:v>
      </x:c>
    </x:row>
    <x:row r="11">
      <x:c r="A11" s="140" t="str">
        <x:v>IRP</x:v>
      </x:c>
      <x:c r="B11" s="140" t="str">
        <x:v>PP</x:v>
      </x:c>
      <x:c r="C11" s="142" t="n">
        <x:f>'Desarrollo de indicadores'!E18</x:f>
        <x:v>0.01278072</x:v>
      </x:c>
      <x:c r="D11" s="142" t="n">
        <x:f>'Desarrollo de indicadores'!F18</x:f>
        <x:v>0.01278072</x:v>
      </x:c>
      <x:c r="E11" s="142" t="n">
        <x:f>'Desarrollo de indicadores'!G18</x:f>
        <x:v>0.0130368</x:v>
      </x:c>
      <x:c r="F11" s="142" t="n">
        <x:f>'Desarrollo de indicadores'!H18</x:f>
        <x:v>0.00129592</x:v>
      </x:c>
      <x:c r="G11" s="142" t="n">
        <x:f>'Desarrollo de indicadores'!I18</x:f>
        <x:v>0.001230736</x:v>
      </x:c>
      <x:c r="H11" s="142" t="n">
        <x:f>'Desarrollo de indicadores'!J18</x:f>
        <x:v>0.02760232</x:v>
      </x:c>
      <x:c r="I11" s="142" t="n">
        <x:f>'Desarrollo de indicadores'!K18</x:f>
        <x:v>0.031592512</x:v>
      </x:c>
      <x:c r="J11" s="142" t="n">
        <x:f>'Desarrollo de indicadores'!L18</x:f>
        <x:v>0.027215872</x:v>
      </x:c>
      <x:c r="K11" s="142" t="n">
        <x:f>'Desarrollo de indicadores'!M18</x:f>
        <x:v>0.02972856</x:v>
      </x:c>
      <x:c r="L11" s="142" t="n">
        <x:f>'Desarrollo de indicadores'!N18</x:f>
        <x:v>0.031716672</x:v>
      </x:c>
      <x:c r="M11" s="142" t="n">
        <x:f>'Desarrollo de indicadores'!O18</x:f>
        <x:v>0.031716672</x:v>
      </x:c>
    </x:row>
    <x:row r="12">
      <x:c r="A12" s="140" t="str">
        <x:v>IRP</x:v>
      </x:c>
      <x:c r="B12" s="140" t="str">
        <x:v>PE</x:v>
      </x:c>
      <x:c r="C12" s="142" t="n">
        <x:f>'Desarrollo de indicadores'!E19</x:f>
        <x:v>0.065792187</x:v>
      </x:c>
      <x:c r="D12" s="142" t="n">
        <x:f>'Desarrollo de indicadores'!F19</x:f>
        <x:v>0.065792187</x:v>
      </x:c>
      <x:c r="E12" s="142" t="n">
        <x:f>'Desarrollo de indicadores'!G19</x:f>
        <x:v>0.06710832</x:v>
      </x:c>
      <x:c r="F12" s="142" t="n">
        <x:f>'Desarrollo de indicadores'!H19</x:f>
        <x:v>0.063439539</x:v>
      </x:c>
      <x:c r="G12" s="142" t="n">
        <x:f>'Desarrollo de indicadores'!I19</x:f>
        <x:v>0.060717281</x:v>
      </x:c>
      <x:c r="H12" s="142" t="n">
        <x:f>'Desarrollo de indicadores'!J19</x:f>
        <x:v>0.062565331</x:v>
      </x:c>
      <x:c r="I12" s="142" t="n">
        <x:f>'Desarrollo de indicadores'!K19</x:f>
        <x:v>0.07342383</x:v>
      </x:c>
      <x:c r="J12" s="142" t="n">
        <x:f>'Desarrollo de indicadores'!L19</x:f>
        <x:v>0.074065023</x:v>
      </x:c>
      <x:c r="K12" s="142" t="n">
        <x:f>'Desarrollo de indicadores'!M19</x:f>
        <x:v>0.087473831</x:v>
      </x:c>
      <x:c r="L12" s="142" t="n">
        <x:f>'Desarrollo de indicadores'!N19</x:f>
        <x:v>0.093156183</x:v>
      </x:c>
      <x:c r="M12" s="142" t="n">
        <x:f>'Desarrollo de indicadores'!O19</x:f>
        <x:v>0.093156183</x:v>
      </x:c>
    </x:row>
    <x:row r="13">
      <x:c r="A13" s="140" t="str">
        <x:v>IRP_total</x:v>
      </x:c>
      <x:c r="B13" s="140" t="str">
        <x:v>PET+PP+PE</x:v>
      </x:c>
      <x:c r="C13" s="142" t="n">
        <x:f>'Desarrollo de indicadores'!E20</x:f>
        <x:v>0.10844732700000001</x:v>
      </x:c>
      <x:c r="D13" s="142" t="n">
        <x:f>'Desarrollo de indicadores'!F20</x:f>
        <x:v>0.10844732700000001</x:v>
      </x:c>
      <x:c r="E13" s="142" t="n">
        <x:f>'Desarrollo de indicadores'!G20</x:f>
        <x:v>0.11168895000000001</x:v>
      </x:c>
      <x:c r="F13" s="142" t="n">
        <x:f>'Desarrollo de indicadores'!H20</x:f>
        <x:v>0.10171276900000001</x:v>
      </x:c>
      <x:c r="G13" s="142" t="n">
        <x:f>'Desarrollo de indicadores'!I20</x:f>
        <x:v>0.104684427</x:v>
      </x:c>
      <x:c r="H13" s="142" t="n">
        <x:f>'Desarrollo de indicadores'!J20</x:f>
        <x:v>0.136682711</x:v>
      </x:c>
      <x:c r="I13" s="142" t="n">
        <x:f>'Desarrollo de indicadores'!K20</x:f>
        <x:v>0.16432049199999998</x:v>
      </x:c>
      <x:c r="J13" s="142" t="n">
        <x:f>'Desarrollo de indicadores'!L20</x:f>
        <x:v>0.154774915</x:v>
      </x:c>
      <x:c r="K13" s="142" t="n">
        <x:f>'Desarrollo de indicadores'!M20</x:f>
        <x:v>0.172535921</x:v>
      </x:c>
      <x:c r="L13" s="142" t="n">
        <x:f>'Desarrollo de indicadores'!N20</x:f>
        <x:v>0.174775335</x:v>
      </x:c>
      <x:c r="M13" s="142" t="n">
        <x:f>'Desarrollo de indicadores'!O20</x:f>
        <x:v>0.174775335</x:v>
      </x:c>
    </x:row>
    <x:row r="14">
      <x:c r="A14" s="140"/>
      <x:c r="B14" s="140"/>
      <x:c r="C14" s="142"/>
      <x:c r="D14" s="142"/>
      <x:c r="E14" s="142"/>
      <x:c r="F14" s="142"/>
      <x:c r="G14" s="142"/>
      <x:c r="H14" s="142"/>
      <x:c r="I14" s="142"/>
      <x:c r="J14" s="142"/>
      <x:c r="K14" s="142"/>
      <x:c r="L14" s="142"/>
      <x:c r="M14" s="142"/>
    </x:row>
    <x:row r="15">
      <x:c r="A15" s="140"/>
      <x:c r="B15" s="140"/>
      <x:c r="C15" s="142"/>
      <x:c r="D15" s="142"/>
      <x:c r="E15" s="142"/>
      <x:c r="F15" s="142"/>
      <x:c r="G15" s="142"/>
      <x:c r="H15" s="142"/>
      <x:c r="I15" s="142"/>
      <x:c r="J15" s="142"/>
      <x:c r="K15" s="142"/>
      <x:c r="L15" s="142"/>
      <x:c r="M15" s="14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8.77734375" defaultRowHeight="14.399999618530273"/>
  <x:cols>
    <x:col min="1" max="1" width="18" customWidth="1"/>
    <x:col min="2" max="2" width="14" customWidth="1"/>
    <x:col min="3" max="3" width="10" customWidth="1"/>
    <x:col min="4" max="6" width="14" customWidth="1"/>
    <x:col min="7" max="7" width="12" customWidth="1"/>
    <x:col min="8" max="8" width="58" customWidth="1"/>
  </x:cols>
  <x:sheetData>
    <x:row r="1">
      <x:c r="A1" s="141" t="s">
        <x:v>75</x:v>
      </x:c>
      <x:c r="B1" s="141" t="s">
        <x:v>6</x:v>
      </x:c>
      <x:c r="C1" s="141" t="s">
        <x:v>215</x:v>
      </x:c>
      <x:c r="D1" s="141" t="s">
        <x:v>216</x:v>
      </x:c>
      <x:c r="E1" s="141" t="s">
        <x:v>217</x:v>
      </x:c>
      <x:c r="F1" s="141" t="s">
        <x:v>218</x:v>
      </x:c>
      <x:c r="G1" s="141" t="s">
        <x:v>219</x:v>
      </x:c>
      <x:c r="H1" s="141" t="s">
        <x:v>220</x:v>
      </x:c>
      <x:c r="I1" s="141"/>
      <x:c r="J1" s="141"/>
      <x:c r="K1" s="141"/>
      <x:c r="L1" s="141"/>
      <x:c r="M1" s="141"/>
    </x:row>
    <x:row r="2" ht="28.799999237060547">
      <x:c r="A2" s="140" t="str">
        <x:v>TR_total</x:v>
      </x:c>
      <x:c r="B2" s="140" t="str">
        <x:v>Todas</x:v>
      </x:c>
      <x:c r="C2" s="140" t="n">
        <x:v>2015</x:v>
      </x:c>
      <x:c r="D2" s="208" t="n">
        <x:v>0.085</x:v>
      </x:c>
      <x:c r="E2" s="208" t="n">
        <x:f>Indicadores_validados!C2</x:f>
        <x:v>0.085</x:v>
      </x:c>
      <x:c r="F2" s="208" t="n">
        <x:f t="shared" ref="F2:F33" si="0">E2-D2</x:f>
        <x:v>0</x:v>
      </x:c>
      <x:c r="G2" s="208" t="str">
        <x:f t="shared" ref="G2:G23" si="1">IF(ABS(F2)&lt;=0.0006,"OK","REVISAR")</x:f>
        <x:v>OK</x:v>
      </x:c>
      <x:c r="H2" s="211" t="str">
        <x:v>El manuscrito muestra porcentajes; el libro almacena fracciones comparables.</x:v>
      </x:c>
      <x:c r="I2" s="140"/>
      <x:c r="J2" s="140"/>
      <x:c r="K2" s="140"/>
      <x:c r="L2" s="140"/>
      <x:c r="M2" s="140"/>
    </x:row>
    <x:row r="3" ht="28.799999237060547">
      <x:c r="A3" s="140" t="str">
        <x:v>TR_total</x:v>
      </x:c>
      <x:c r="B3" s="140" t="str">
        <x:v>Todas</x:v>
      </x:c>
      <x:c r="C3" s="140" t="n">
        <x:v>2016</x:v>
      </x:c>
      <x:c r="D3" s="208" t="n">
        <x:v>0.085</x:v>
      </x:c>
      <x:c r="E3" s="208" t="n">
        <x:f>Indicadores_validados!D2</x:f>
        <x:v>0.085</x:v>
      </x:c>
      <x:c r="F3" s="208" t="n">
        <x:f t="shared" si="0">E3-D3</x:f>
        <x:v>0</x:v>
      </x:c>
      <x:c r="G3" s="208" t="str">
        <x:f t="shared" si="1">IF(ABS(F3)&lt;=0.0006,"OK","REVISAR")</x:f>
        <x:v>OK</x:v>
      </x:c>
      <x:c r="H3" s="211" t="str">
        <x:v>El manuscrito muestra porcentajes; el libro almacena fracciones comparables.</x:v>
      </x:c>
      <x:c r="I3" s="140"/>
      <x:c r="J3" s="140"/>
      <x:c r="K3" s="140"/>
      <x:c r="L3" s="140"/>
      <x:c r="M3" s="140"/>
    </x:row>
    <x:row r="4" ht="28.799999237060547">
      <x:c r="A4" s="140" t="str">
        <x:v>TR_total</x:v>
      </x:c>
      <x:c r="B4" s="140" t="str">
        <x:v>Todas</x:v>
      </x:c>
      <x:c r="C4" s="140" t="n">
        <x:v>2017</x:v>
      </x:c>
      <x:c r="D4" s="208" t="n">
        <x:v>0.085</x:v>
      </x:c>
      <x:c r="E4" s="208" t="n">
        <x:f>Indicadores_validados!E2</x:f>
        <x:v>0.085</x:v>
      </x:c>
      <x:c r="F4" s="208" t="n">
        <x:f t="shared" si="0">E4-D4</x:f>
        <x:v>0</x:v>
      </x:c>
      <x:c r="G4" s="208" t="str">
        <x:f t="shared" si="1">IF(ABS(F4)&lt;=0.0006,"OK","REVISAR")</x:f>
        <x:v>OK</x:v>
      </x:c>
      <x:c r="H4" s="211" t="str">
        <x:v>El manuscrito muestra porcentajes; el libro almacena fracciones comparables.</x:v>
      </x:c>
      <x:c r="I4" s="140"/>
      <x:c r="J4" s="140"/>
      <x:c r="K4" s="140"/>
      <x:c r="L4" s="140"/>
      <x:c r="M4" s="140"/>
    </x:row>
    <x:row r="5" ht="28.799999237060547">
      <x:c r="A5" s="140" t="str">
        <x:v>TR_total</x:v>
      </x:c>
      <x:c r="B5" s="140" t="str">
        <x:v>Todas</x:v>
      </x:c>
      <x:c r="C5" s="140" t="n">
        <x:v>2018</x:v>
      </x:c>
      <x:c r="D5" s="208" t="n">
        <x:v>0.085</x:v>
      </x:c>
      <x:c r="E5" s="208" t="n">
        <x:f>Indicadores_validados!F2</x:f>
        <x:v>0.085</x:v>
      </x:c>
      <x:c r="F5" s="208" t="n">
        <x:f t="shared" si="0">E5-D5</x:f>
        <x:v>0</x:v>
      </x:c>
      <x:c r="G5" s="208" t="str">
        <x:f t="shared" si="1">IF(ABS(F5)&lt;=0.0006,"OK","REVISAR")</x:f>
        <x:v>OK</x:v>
      </x:c>
      <x:c r="H5" s="211" t="str">
        <x:v>El manuscrito muestra porcentajes; el libro almacena fracciones comparables.</x:v>
      </x:c>
      <x:c r="I5" s="140"/>
      <x:c r="J5" s="140"/>
      <x:c r="K5" s="140"/>
      <x:c r="L5" s="140"/>
      <x:c r="M5" s="140"/>
    </x:row>
    <x:row r="6" ht="28.799999237060547">
      <x:c r="A6" s="140" t="str">
        <x:v>TR_total</x:v>
      </x:c>
      <x:c r="B6" s="140" t="str">
        <x:v>Todas</x:v>
      </x:c>
      <x:c r="C6" s="140" t="n">
        <x:v>2019</x:v>
      </x:c>
      <x:c r="D6" s="208" t="n">
        <x:v>0.091</x:v>
      </x:c>
      <x:c r="E6" s="208" t="n">
        <x:f>Indicadores_validados!G2</x:f>
        <x:v>0.0905</x:v>
      </x:c>
      <x:c r="F6" s="208" t="n">
        <x:f t="shared" si="0">E6-D6</x:f>
        <x:v>-0.0005000000000000004</x:v>
      </x:c>
      <x:c r="G6" s="208" t="str">
        <x:f t="shared" si="1">IF(ABS(F6)&lt;=0.0006,"OK","REVISAR")</x:f>
        <x:v>OK</x:v>
      </x:c>
      <x:c r="H6" s="211" t="str">
        <x:v>El manuscrito muestra porcentajes; el libro almacena fracciones comparables.</x:v>
      </x:c>
      <x:c r="I6" s="140"/>
      <x:c r="J6" s="140"/>
      <x:c r="K6" s="140"/>
      <x:c r="L6" s="140"/>
      <x:c r="M6" s="140"/>
    </x:row>
    <x:row r="7" ht="28.799999237060547">
      <x:c r="A7" s="140" t="str">
        <x:v>TR_total</x:v>
      </x:c>
      <x:c r="B7" s="140" t="str">
        <x:v>Todas</x:v>
      </x:c>
      <x:c r="C7" s="140" t="n">
        <x:v>2020</x:v>
      </x:c>
      <x:c r="D7" s="208" t="n">
        <x:v>0.096</x:v>
      </x:c>
      <x:c r="E7" s="208" t="n">
        <x:f>Indicadores_validados!H2</x:f>
        <x:v>0.096</x:v>
      </x:c>
      <x:c r="F7" s="208" t="n">
        <x:f t="shared" si="0">E7-D7</x:f>
        <x:v>0</x:v>
      </x:c>
      <x:c r="G7" s="208" t="str">
        <x:f t="shared" si="1">IF(ABS(F7)&lt;=0.0006,"OK","REVISAR")</x:f>
        <x:v>OK</x:v>
      </x:c>
      <x:c r="H7" s="211" t="str">
        <x:v>El manuscrito muestra porcentajes; el libro almacena fracciones comparables.</x:v>
      </x:c>
      <x:c r="I7" s="140"/>
      <x:c r="J7" s="140"/>
      <x:c r="K7" s="140"/>
      <x:c r="L7" s="140"/>
      <x:c r="M7" s="140"/>
    </x:row>
    <x:row r="8" ht="28.799999237060547">
      <x:c r="A8" s="140" t="str">
        <x:v>TR_total</x:v>
      </x:c>
      <x:c r="B8" s="140" t="str">
        <x:v>Todas</x:v>
      </x:c>
      <x:c r="C8" s="140" t="n">
        <x:v>2021</x:v>
      </x:c>
      <x:c r="D8" s="208" t="n">
        <x:v>0.087</x:v>
      </x:c>
      <x:c r="E8" s="208" t="n">
        <x:f>Indicadores_validados!I2</x:f>
        <x:v>0.087</x:v>
      </x:c>
      <x:c r="F8" s="208" t="n">
        <x:f t="shared" si="0">E8-D8</x:f>
        <x:v>0</x:v>
      </x:c>
      <x:c r="G8" s="208" t="str">
        <x:f t="shared" si="1">IF(ABS(F8)&lt;=0.0006,"OK","REVISAR")</x:f>
        <x:v>OK</x:v>
      </x:c>
      <x:c r="H8" s="211" t="str">
        <x:v>El manuscrito muestra porcentajes; el libro almacena fracciones comparables.</x:v>
      </x:c>
      <x:c r="I8" s="140"/>
      <x:c r="J8" s="140"/>
      <x:c r="K8" s="140"/>
      <x:c r="L8" s="140"/>
      <x:c r="M8" s="140"/>
    </x:row>
    <x:row r="9" ht="28.799999237060547">
      <x:c r="A9" s="140" t="str">
        <x:v>TR_total</x:v>
      </x:c>
      <x:c r="B9" s="140" t="str">
        <x:v>Todas</x:v>
      </x:c>
      <x:c r="C9" s="140" t="n">
        <x:v>2022</x:v>
      </x:c>
      <x:c r="D9" s="208" t="n">
        <x:v>0.078</x:v>
      </x:c>
      <x:c r="E9" s="208" t="n">
        <x:f>Indicadores_validados!J2</x:f>
        <x:v>0.078</x:v>
      </x:c>
      <x:c r="F9" s="208" t="n">
        <x:f t="shared" si="0">E9-D9</x:f>
        <x:v>0</x:v>
      </x:c>
      <x:c r="G9" s="208" t="str">
        <x:f t="shared" si="1">IF(ABS(F9)&lt;=0.0006,"OK","REVISAR")</x:f>
        <x:v>OK</x:v>
      </x:c>
      <x:c r="H9" s="211" t="str">
        <x:v>El manuscrito muestra porcentajes; el libro almacena fracciones comparables.</x:v>
      </x:c>
      <x:c r="I9" s="140"/>
      <x:c r="J9" s="140"/>
      <x:c r="K9" s="140"/>
      <x:c r="L9" s="140"/>
      <x:c r="M9" s="140"/>
    </x:row>
    <x:row r="10" ht="28.799999237060547">
      <x:c r="A10" s="140" t="str">
        <x:v>TR_total</x:v>
      </x:c>
      <x:c r="B10" s="140" t="str">
        <x:v>Todas</x:v>
      </x:c>
      <x:c r="C10" s="140" t="n">
        <x:v>2023</x:v>
      </x:c>
      <x:c r="D10" s="208" t="n">
        <x:v>0.091</x:v>
      </x:c>
      <x:c r="E10" s="208" t="n">
        <x:f>Indicadores_validados!K2</x:f>
        <x:v>0.0905</x:v>
      </x:c>
      <x:c r="F10" s="208" t="n">
        <x:f t="shared" si="0">E10-D10</x:f>
        <x:v>-0.0005000000000000004</x:v>
      </x:c>
      <x:c r="G10" s="208" t="str">
        <x:f t="shared" si="1">IF(ABS(F10)&lt;=0.0006,"OK","REVISAR")</x:f>
        <x:v>OK</x:v>
      </x:c>
      <x:c r="H10" s="211" t="str">
        <x:v>El manuscrito muestra porcentajes; el libro almacena fracciones comparables.</x:v>
      </x:c>
      <x:c r="I10" s="140"/>
      <x:c r="J10" s="140"/>
      <x:c r="K10" s="140"/>
      <x:c r="L10" s="140"/>
      <x:c r="M10" s="140"/>
    </x:row>
    <x:row r="11" ht="28.799999237060547">
      <x:c r="A11" s="140" t="str">
        <x:v>TR_total</x:v>
      </x:c>
      <x:c r="B11" s="140" t="str">
        <x:v>Todas</x:v>
      </x:c>
      <x:c r="C11" s="140" t="n">
        <x:v>2024</x:v>
      </x:c>
      <x:c r="D11" s="208" t="n">
        <x:v>0.103</x:v>
      </x:c>
      <x:c r="E11" s="208" t="n">
        <x:f>Indicadores_validados!L2</x:f>
        <x:v>0.103</x:v>
      </x:c>
      <x:c r="F11" s="208" t="n">
        <x:f t="shared" si="0">E11-D11</x:f>
        <x:v>0</x:v>
      </x:c>
      <x:c r="G11" s="208" t="str">
        <x:f t="shared" si="1">IF(ABS(F11)&lt;=0.0006,"OK","REVISAR")</x:f>
        <x:v>OK</x:v>
      </x:c>
      <x:c r="H11" s="211" t="str">
        <x:v>El manuscrito muestra porcentajes; el libro almacena fracciones comparables.</x:v>
      </x:c>
      <x:c r="I11" s="140"/>
      <x:c r="J11" s="140"/>
      <x:c r="K11" s="140"/>
      <x:c r="L11" s="140"/>
      <x:c r="M11" s="140"/>
    </x:row>
    <x:row r="12" ht="28.799999237060547">
      <x:c r="A12" s="140" t="str">
        <x:v>TR_total</x:v>
      </x:c>
      <x:c r="B12" s="140" t="str">
        <x:v>Todas</x:v>
      </x:c>
      <x:c r="C12" s="140" t="n">
        <x:v>2025</x:v>
      </x:c>
      <x:c r="D12" s="208" t="n">
        <x:v>0.103</x:v>
      </x:c>
      <x:c r="E12" s="208" t="n">
        <x:f>Indicadores_validados!M2</x:f>
        <x:v>0.103</x:v>
      </x:c>
      <x:c r="F12" s="208" t="n">
        <x:f t="shared" si="0">E12-D12</x:f>
        <x:v>0</x:v>
      </x:c>
      <x:c r="G12" s="208" t="str">
        <x:f t="shared" si="1">IF(ABS(F12)&lt;=0.0006,"OK","REVISAR")</x:f>
        <x:v>OK</x:v>
      </x:c>
      <x:c r="H12" s="211" t="str">
        <x:v>El manuscrito muestra porcentajes; el libro almacena fracciones comparables.</x:v>
      </x:c>
      <x:c r="I12" s="140"/>
      <x:c r="J12" s="140"/>
      <x:c r="K12" s="140"/>
      <x:c r="L12" s="140"/>
      <x:c r="M12" s="140"/>
    </x:row>
    <x:row r="13" ht="28.799999237060547">
      <x:c r="A13" s="140" t="str">
        <x:v>TR_packaging</x:v>
      </x:c>
      <x:c r="B13" s="140" t="str">
        <x:v>Envases</x:v>
      </x:c>
      <x:c r="C13" s="140" t="n">
        <x:v>2015</x:v>
      </x:c>
      <x:c r="D13" s="208" t="n">
        <x:v>0.07</x:v>
      </x:c>
      <x:c r="E13" s="208" t="n">
        <x:f>Indicadores_validados!C3</x:f>
        <x:v>0.07</x:v>
      </x:c>
      <x:c r="F13" s="208" t="n">
        <x:f t="shared" si="0">E13-D13</x:f>
        <x:v>0</x:v>
      </x:c>
      <x:c r="G13" s="208" t="str">
        <x:f t="shared" si="1">IF(ABS(F13)&lt;=0.0006,"OK","REVISAR")</x:f>
        <x:v>OK</x:v>
      </x:c>
      <x:c r="H13" s="211" t="str">
        <x:v>El manuscrito muestra porcentajes; el libro almacena fracciones comparables.</x:v>
      </x:c>
      <x:c r="I13" s="140"/>
      <x:c r="J13" s="140"/>
      <x:c r="K13" s="140"/>
      <x:c r="L13" s="140"/>
      <x:c r="M13" s="140"/>
    </x:row>
    <x:row r="14" ht="28.799999237060547">
      <x:c r="A14" s="140" t="str">
        <x:v>TR_packaging</x:v>
      </x:c>
      <x:c r="B14" s="140" t="str">
        <x:v>Envases</x:v>
      </x:c>
      <x:c r="C14" s="140" t="n">
        <x:v>2016</x:v>
      </x:c>
      <x:c r="D14" s="208" t="n">
        <x:v>0.07</x:v>
      </x:c>
      <x:c r="E14" s="208" t="n">
        <x:f>Indicadores_validados!D3</x:f>
        <x:v>0.07</x:v>
      </x:c>
      <x:c r="F14" s="208" t="n">
        <x:f t="shared" si="0">E14-D14</x:f>
        <x:v>0</x:v>
      </x:c>
      <x:c r="G14" s="208" t="str">
        <x:f t="shared" si="1">IF(ABS(F14)&lt;=0.0006,"OK","REVISAR")</x:f>
        <x:v>OK</x:v>
      </x:c>
      <x:c r="H14" s="211" t="str">
        <x:v>El manuscrito muestra porcentajes; el libro almacena fracciones comparables.</x:v>
      </x:c>
      <x:c r="I14" s="140"/>
      <x:c r="J14" s="140"/>
      <x:c r="K14" s="140"/>
      <x:c r="L14" s="140"/>
      <x:c r="M14" s="140"/>
    </x:row>
    <x:row r="15" ht="28.799999237060547">
      <x:c r="A15" s="140" t="str">
        <x:v>TR_packaging</x:v>
      </x:c>
      <x:c r="B15" s="140" t="str">
        <x:v>Envases</x:v>
      </x:c>
      <x:c r="C15" s="140" t="n">
        <x:v>2017</x:v>
      </x:c>
      <x:c r="D15" s="208" t="n">
        <x:v>0.07</x:v>
      </x:c>
      <x:c r="E15" s="208" t="n">
        <x:f>Indicadores_validados!E3</x:f>
        <x:v>0.07</x:v>
      </x:c>
      <x:c r="F15" s="208" t="n">
        <x:f t="shared" si="0">E15-D15</x:f>
        <x:v>0</x:v>
      </x:c>
      <x:c r="G15" s="208" t="str">
        <x:f t="shared" si="1">IF(ABS(F15)&lt;=0.0006,"OK","REVISAR")</x:f>
        <x:v>OK</x:v>
      </x:c>
      <x:c r="H15" s="211" t="str">
        <x:v>El manuscrito muestra porcentajes; el libro almacena fracciones comparables.</x:v>
      </x:c>
      <x:c r="I15" s="140"/>
      <x:c r="J15" s="140"/>
      <x:c r="K15" s="140"/>
      <x:c r="L15" s="140"/>
      <x:c r="M15" s="140"/>
    </x:row>
    <x:row r="16" ht="28.799999237060547">
      <x:c r="A16" s="140" t="str">
        <x:v>TR_packaging</x:v>
      </x:c>
      <x:c r="B16" s="140" t="str">
        <x:v>Envases</x:v>
      </x:c>
      <x:c r="C16" s="140" t="n">
        <x:v>2018</x:v>
      </x:c>
      <x:c r="D16" s="208" t="n">
        <x:v>0.07</x:v>
      </x:c>
      <x:c r="E16" s="208" t="n">
        <x:f>Indicadores_validados!F3</x:f>
        <x:v>0.07</x:v>
      </x:c>
      <x:c r="F16" s="208" t="n">
        <x:f t="shared" si="0">E16-D16</x:f>
        <x:v>0</x:v>
      </x:c>
      <x:c r="G16" s="208" t="str">
        <x:f t="shared" si="1">IF(ABS(F16)&lt;=0.0006,"OK","REVISAR")</x:f>
        <x:v>OK</x:v>
      </x:c>
      <x:c r="H16" s="211" t="str">
        <x:v>El manuscrito muestra porcentajes; el libro almacena fracciones comparables.</x:v>
      </x:c>
      <x:c r="I16" s="140"/>
      <x:c r="J16" s="140"/>
      <x:c r="K16" s="140"/>
      <x:c r="L16" s="140"/>
      <x:c r="M16" s="140"/>
    </x:row>
    <x:row r="17" ht="28.799999237060547">
      <x:c r="A17" s="140" t="str">
        <x:v>TR_packaging</x:v>
      </x:c>
      <x:c r="B17" s="140" t="str">
        <x:v>Envases</x:v>
      </x:c>
      <x:c r="C17" s="140" t="n">
        <x:v>2019</x:v>
      </x:c>
      <x:c r="D17" s="208" t="n">
        <x:v>0.08</x:v>
      </x:c>
      <x:c r="E17" s="208" t="n">
        <x:f>Indicadores_validados!G3</x:f>
        <x:v>0.08</x:v>
      </x:c>
      <x:c r="F17" s="208" t="n">
        <x:f t="shared" si="0">E17-D17</x:f>
        <x:v>0</x:v>
      </x:c>
      <x:c r="G17" s="208" t="str">
        <x:f t="shared" si="1">IF(ABS(F17)&lt;=0.0006,"OK","REVISAR")</x:f>
        <x:v>OK</x:v>
      </x:c>
      <x:c r="H17" s="211" t="str">
        <x:v>El manuscrito muestra porcentajes; el libro almacena fracciones comparables.</x:v>
      </x:c>
      <x:c r="I17" s="140"/>
      <x:c r="J17" s="140"/>
      <x:c r="K17" s="140"/>
      <x:c r="L17" s="140"/>
      <x:c r="M17" s="140"/>
    </x:row>
    <x:row r="18" ht="28.799999237060547">
      <x:c r="A18" s="140" t="str">
        <x:v>TR_packaging</x:v>
      </x:c>
      <x:c r="B18" s="140" t="str">
        <x:v>Envases</x:v>
      </x:c>
      <x:c r="C18" s="140" t="n">
        <x:v>2020</x:v>
      </x:c>
      <x:c r="D18" s="208" t="n">
        <x:v>0.09</x:v>
      </x:c>
      <x:c r="E18" s="208" t="n">
        <x:f>Indicadores_validados!H3</x:f>
        <x:v>0.09</x:v>
      </x:c>
      <x:c r="F18" s="208" t="n">
        <x:f t="shared" si="0">E18-D18</x:f>
        <x:v>0</x:v>
      </x:c>
      <x:c r="G18" s="208" t="str">
        <x:f t="shared" si="1">IF(ABS(F18)&lt;=0.0006,"OK","REVISAR")</x:f>
        <x:v>OK</x:v>
      </x:c>
      <x:c r="H18" s="211" t="str">
        <x:v>El manuscrito muestra porcentajes; el libro almacena fracciones comparables.</x:v>
      </x:c>
      <x:c r="I18" s="140"/>
      <x:c r="J18" s="140"/>
      <x:c r="K18" s="140"/>
      <x:c r="L18" s="140"/>
      <x:c r="M18" s="140"/>
    </x:row>
    <x:row r="19" ht="28.799999237060547">
      <x:c r="A19" s="140" t="str">
        <x:v>TR_packaging</x:v>
      </x:c>
      <x:c r="B19" s="140" t="str">
        <x:v>Envases</x:v>
      </x:c>
      <x:c r="C19" s="140" t="n">
        <x:v>2021</x:v>
      </x:c>
      <x:c r="D19" s="208" t="n">
        <x:v>0.1</x:v>
      </x:c>
      <x:c r="E19" s="208" t="n">
        <x:f>Indicadores_validados!I3</x:f>
        <x:v>0.1</x:v>
      </x:c>
      <x:c r="F19" s="208" t="n">
        <x:f t="shared" si="0">E19-D19</x:f>
        <x:v>0</x:v>
      </x:c>
      <x:c r="G19" s="208" t="str">
        <x:f t="shared" si="1">IF(ABS(F19)&lt;=0.0006,"OK","REVISAR")</x:f>
        <x:v>OK</x:v>
      </x:c>
      <x:c r="H19" s="211" t="str">
        <x:v>El manuscrito muestra porcentajes; el libro almacena fracciones comparables.</x:v>
      </x:c>
      <x:c r="I19" s="140"/>
      <x:c r="J19" s="140"/>
      <x:c r="K19" s="140"/>
      <x:c r="L19" s="140"/>
      <x:c r="M19" s="140"/>
    </x:row>
    <x:row r="20" ht="28.799999237060547">
      <x:c r="A20" s="140" t="str">
        <x:v>TR_packaging</x:v>
      </x:c>
      <x:c r="B20" s="140" t="str">
        <x:v>Envases</x:v>
      </x:c>
      <x:c r="C20" s="140" t="n">
        <x:v>2022</x:v>
      </x:c>
      <x:c r="D20" s="208" t="n">
        <x:v>0.11</x:v>
      </x:c>
      <x:c r="E20" s="208" t="n">
        <x:f>Indicadores_validados!J3</x:f>
        <x:v>0.11</x:v>
      </x:c>
      <x:c r="F20" s="208" t="n">
        <x:f t="shared" si="0">E20-D20</x:f>
        <x:v>0</x:v>
      </x:c>
      <x:c r="G20" s="208" t="str">
        <x:f t="shared" si="1">IF(ABS(F20)&lt;=0.0006,"OK","REVISAR")</x:f>
        <x:v>OK</x:v>
      </x:c>
      <x:c r="H20" s="211" t="str">
        <x:v>El manuscrito muestra porcentajes; el libro almacena fracciones comparables.</x:v>
      </x:c>
      <x:c r="I20" s="140"/>
      <x:c r="J20" s="140"/>
      <x:c r="K20" s="140"/>
      <x:c r="L20" s="140"/>
      <x:c r="M20" s="140"/>
    </x:row>
    <x:row r="21" ht="28.799999237060547">
      <x:c r="A21" s="140" t="str">
        <x:v>TR_packaging</x:v>
      </x:c>
      <x:c r="B21" s="140" t="str">
        <x:v>Envases</x:v>
      </x:c>
      <x:c r="C21" s="140" t="n">
        <x:v>2023</x:v>
      </x:c>
      <x:c r="D21" s="208" t="n">
        <x:v>0.12</x:v>
      </x:c>
      <x:c r="E21" s="208" t="n">
        <x:f>Indicadores_validados!K3</x:f>
        <x:v>0.12</x:v>
      </x:c>
      <x:c r="F21" s="208" t="n">
        <x:f t="shared" si="0">E21-D21</x:f>
        <x:v>0</x:v>
      </x:c>
      <x:c r="G21" s="208" t="str">
        <x:f t="shared" si="1">IF(ABS(F21)&lt;=0.0006,"OK","REVISAR")</x:f>
        <x:v>OK</x:v>
      </x:c>
      <x:c r="H21" s="211" t="str">
        <x:v>El manuscrito muestra porcentajes; el libro almacena fracciones comparables.</x:v>
      </x:c>
      <x:c r="I21" s="140"/>
      <x:c r="J21" s="140"/>
      <x:c r="K21" s="140"/>
      <x:c r="L21" s="140"/>
      <x:c r="M21" s="140"/>
    </x:row>
    <x:row r="22" ht="28.799999237060547">
      <x:c r="A22" s="140" t="str">
        <x:v>TR_packaging</x:v>
      </x:c>
      <x:c r="B22" s="140" t="str">
        <x:v>Envases</x:v>
      </x:c>
      <x:c r="C22" s="140" t="n">
        <x:v>2024</x:v>
      </x:c>
      <x:c r="D22" s="208" t="n">
        <x:v>0.13</x:v>
      </x:c>
      <x:c r="E22" s="208" t="n">
        <x:f>Indicadores_validados!L3</x:f>
        <x:v>0.13</x:v>
      </x:c>
      <x:c r="F22" s="208" t="n">
        <x:f t="shared" si="0">E22-D22</x:f>
        <x:v>0</x:v>
      </x:c>
      <x:c r="G22" s="208" t="str">
        <x:f t="shared" si="1">IF(ABS(F22)&lt;=0.0006,"OK","REVISAR")</x:f>
        <x:v>OK</x:v>
      </x:c>
      <x:c r="H22" s="211" t="str">
        <x:v>El manuscrito muestra porcentajes; el libro almacena fracciones comparables.</x:v>
      </x:c>
      <x:c r="I22" s="140"/>
      <x:c r="J22" s="140"/>
      <x:c r="K22" s="140"/>
      <x:c r="L22" s="140"/>
      <x:c r="M22" s="140"/>
    </x:row>
    <x:row r="23" ht="28.799999237060547">
      <x:c r="A23" s="140" t="str">
        <x:v>TR_packaging</x:v>
      </x:c>
      <x:c r="B23" s="140" t="str">
        <x:v>Envases</x:v>
      </x:c>
      <x:c r="C23" s="140" t="n">
        <x:v>2025</x:v>
      </x:c>
      <x:c r="D23" s="208" t="n">
        <x:v>0.14</x:v>
      </x:c>
      <x:c r="E23" s="208" t="n">
        <x:f>Indicadores_validados!M3</x:f>
        <x:v>0.14</x:v>
      </x:c>
      <x:c r="F23" s="208" t="n">
        <x:f t="shared" si="0">E23-D23</x:f>
        <x:v>0</x:v>
      </x:c>
      <x:c r="G23" s="208" t="str">
        <x:f t="shared" si="1">IF(ABS(F23)&lt;=0.0006,"OK","REVISAR")</x:f>
        <x:v>OK</x:v>
      </x:c>
      <x:c r="H23" s="211" t="str">
        <x:v>El manuscrito muestra porcentajes; el libro almacena fracciones comparables.</x:v>
      </x:c>
      <x:c r="I23" s="140"/>
      <x:c r="J23" s="140"/>
      <x:c r="K23" s="140"/>
      <x:c r="L23" s="140"/>
      <x:c r="M23" s="140"/>
    </x:row>
    <x:row r="24">
      <x:c r="A24" s="140" t="str">
        <x:v>Tgr</x:v>
      </x:c>
      <x:c r="B24" s="140" t="str">
        <x:v>Envases</x:v>
      </x:c>
      <x:c r="C24" s="140" t="n">
        <x:v>2015</x:v>
      </x:c>
      <x:c r="D24" s="209" t="n">
        <x:v>23.3</x:v>
      </x:c>
      <x:c r="E24" s="209" t="n">
        <x:f>Indicadores_validados!C4</x:f>
        <x:v>23.29835643194049</x:v>
      </x:c>
      <x:c r="F24" s="209" t="n">
        <x:f t="shared" si="0">E24-D24</x:f>
        <x:v>-0.0016435680595101587</x:v>
      </x:c>
      <x:c r="G24" s="209" t="str">
        <x:f t="shared" ref="G24:G34" si="2">IF(ABS(F24)&lt;=0.05,"OK","REVISAR")</x:f>
        <x:v>OK</x:v>
      </x:c>
      <x:c r="H24" s="211" t="str">
        <x:v>El manuscrito redondea a una decimal (kg/hab/año).</x:v>
      </x:c>
      <x:c r="I24" s="140"/>
      <x:c r="J24" s="140"/>
      <x:c r="K24" s="140"/>
      <x:c r="L24" s="140"/>
      <x:c r="M24" s="140"/>
    </x:row>
    <x:row r="25">
      <x:c r="A25" s="140" t="str">
        <x:v>Tgr</x:v>
      </x:c>
      <x:c r="B25" s="140" t="str">
        <x:v>Envases</x:v>
      </x:c>
      <x:c r="C25" s="140" t="n">
        <x:v>2016</x:v>
      </x:c>
      <x:c r="D25" s="209" t="n">
        <x:v>24.4</x:v>
      </x:c>
      <x:c r="E25" s="209" t="n">
        <x:f>Indicadores_validados!D4</x:f>
        <x:v>24.437214615184214</x:v>
      </x:c>
      <x:c r="F25" s="209" t="n">
        <x:f t="shared" si="0">E25-D25</x:f>
        <x:v>0.037214615184215205</x:v>
      </x:c>
      <x:c r="G25" s="209" t="str">
        <x:f t="shared" si="2">IF(ABS(F25)&lt;=0.05,"OK","REVISAR")</x:f>
        <x:v>OK</x:v>
      </x:c>
      <x:c r="H25" s="211" t="str">
        <x:v>El manuscrito redondea a una decimal (kg/hab/año).</x:v>
      </x:c>
      <x:c r="I25" s="140"/>
      <x:c r="J25" s="140"/>
      <x:c r="K25" s="140"/>
      <x:c r="L25" s="140"/>
      <x:c r="M25" s="140"/>
    </x:row>
    <x:row r="26">
      <x:c r="A26" s="140" t="str">
        <x:v>Tgr</x:v>
      </x:c>
      <x:c r="B26" s="140" t="str">
        <x:v>Envases</x:v>
      </x:c>
      <x:c r="C26" s="140" t="n">
        <x:v>2017</x:v>
      </x:c>
      <x:c r="D26" s="209" t="n">
        <x:v>22.7</x:v>
      </x:c>
      <x:c r="E26" s="209" t="n">
        <x:f>Indicadores_validados!E4</x:f>
        <x:v>22.734145207563305</x:v>
      </x:c>
      <x:c r="F26" s="209" t="n">
        <x:f t="shared" si="0">E26-D26</x:f>
        <x:v>0.034145207563305746</x:v>
      </x:c>
      <x:c r="G26" s="209" t="str">
        <x:f t="shared" si="2">IF(ABS(F26)&lt;=0.05,"OK","REVISAR")</x:f>
        <x:v>OK</x:v>
      </x:c>
      <x:c r="H26" s="211" t="str">
        <x:v>El manuscrito redondea a una decimal (kg/hab/año).</x:v>
      </x:c>
      <x:c r="I26" s="140"/>
      <x:c r="J26" s="140"/>
      <x:c r="K26" s="140"/>
      <x:c r="L26" s="140"/>
      <x:c r="M26" s="140"/>
    </x:row>
    <x:row r="27">
      <x:c r="A27" s="140" t="str">
        <x:v>Tgr</x:v>
      </x:c>
      <x:c r="B27" s="140" t="str">
        <x:v>Envases</x:v>
      </x:c>
      <x:c r="C27" s="140" t="n">
        <x:v>2018</x:v>
      </x:c>
      <x:c r="D27" s="209" t="n">
        <x:v>24.7</x:v>
      </x:c>
      <x:c r="E27" s="209" t="n">
        <x:f>Indicadores_validados!F4</x:f>
        <x:v>24.720016856866582</x:v>
      </x:c>
      <x:c r="F27" s="209" t="n">
        <x:f t="shared" si="0">E27-D27</x:f>
        <x:v>0.020016856866583055</x:v>
      </x:c>
      <x:c r="G27" s="209" t="str">
        <x:f t="shared" si="2">IF(ABS(F27)&lt;=0.05,"OK","REVISAR")</x:f>
        <x:v>OK</x:v>
      </x:c>
      <x:c r="H27" s="211" t="str">
        <x:v>El manuscrito redondea a una decimal (kg/hab/año).</x:v>
      </x:c>
      <x:c r="I27" s="140"/>
      <x:c r="J27" s="140"/>
      <x:c r="K27" s="140"/>
      <x:c r="L27" s="140"/>
      <x:c r="M27" s="140"/>
    </x:row>
    <x:row r="28">
      <x:c r="A28" s="140" t="str">
        <x:v>Tgr</x:v>
      </x:c>
      <x:c r="B28" s="140" t="str">
        <x:v>Envases</x:v>
      </x:c>
      <x:c r="C28" s="140" t="n">
        <x:v>2019</x:v>
      </x:c>
      <x:c r="D28" s="209" t="n">
        <x:v>24</x:v>
      </x:c>
      <x:c r="E28" s="209" t="n">
        <x:f>Indicadores_validados!G4</x:f>
        <x:v>23.97781739354374</x:v>
      </x:c>
      <x:c r="F28" s="209" t="n">
        <x:f t="shared" si="0">E28-D28</x:f>
        <x:v>-0.02218260645625847</x:v>
      </x:c>
      <x:c r="G28" s="209" t="str">
        <x:f t="shared" si="2">IF(ABS(F28)&lt;=0.05,"OK","REVISAR")</x:f>
        <x:v>OK</x:v>
      </x:c>
      <x:c r="H28" s="211" t="str">
        <x:v>El manuscrito redondea a una decimal (kg/hab/año).</x:v>
      </x:c>
      <x:c r="I28" s="140"/>
      <x:c r="J28" s="140"/>
      <x:c r="K28" s="140"/>
      <x:c r="L28" s="140"/>
      <x:c r="M28" s="140"/>
    </x:row>
    <x:row r="29">
      <x:c r="A29" s="140" t="str">
        <x:v>Tgr</x:v>
      </x:c>
      <x:c r="B29" s="140" t="str">
        <x:v>Envases</x:v>
      </x:c>
      <x:c r="C29" s="140" t="n">
        <x:v>2020</x:v>
      </x:c>
      <x:c r="D29" s="209" t="n">
        <x:v>23.6</x:v>
      </x:c>
      <x:c r="E29" s="209" t="n">
        <x:f>Indicadores_validados!H4</x:f>
        <x:v>23.61514012145401</x:v>
      </x:c>
      <x:c r="F29" s="209" t="n">
        <x:f t="shared" si="0">E29-D29</x:f>
        <x:v>0.015140121454010114</x:v>
      </x:c>
      <x:c r="G29" s="209" t="str">
        <x:f t="shared" si="2">IF(ABS(F29)&lt;=0.05,"OK","REVISAR")</x:f>
        <x:v>OK</x:v>
      </x:c>
      <x:c r="H29" s="211" t="str">
        <x:v>El manuscrito redondea a una decimal (kg/hab/año).</x:v>
      </x:c>
      <x:c r="I29" s="140"/>
      <x:c r="J29" s="140"/>
      <x:c r="K29" s="140"/>
      <x:c r="L29" s="140"/>
      <x:c r="M29" s="140"/>
    </x:row>
    <x:row r="30">
      <x:c r="A30" s="140" t="str">
        <x:v>Tgr</x:v>
      </x:c>
      <x:c r="B30" s="140" t="str">
        <x:v>Envases</x:v>
      </x:c>
      <x:c r="C30" s="140" t="n">
        <x:v>2021</x:v>
      </x:c>
      <x:c r="D30" s="209" t="n">
        <x:v>32.9</x:v>
      </x:c>
      <x:c r="E30" s="209" t="n">
        <x:f>Indicadores_validados!I4</x:f>
        <x:v>32.91061923587455</x:v>
      </x:c>
      <x:c r="F30" s="209" t="n">
        <x:f t="shared" si="0">E30-D30</x:f>
        <x:v>0.01061923587455027</x:v>
      </x:c>
      <x:c r="G30" s="209" t="str">
        <x:f t="shared" si="2">IF(ABS(F30)&lt;=0.05,"OK","REVISAR")</x:f>
        <x:v>OK</x:v>
      </x:c>
      <x:c r="H30" s="211" t="str">
        <x:v>El manuscrito redondea a una decimal (kg/hab/año).</x:v>
      </x:c>
      <x:c r="I30" s="140"/>
      <x:c r="J30" s="140"/>
      <x:c r="K30" s="140"/>
      <x:c r="L30" s="140"/>
      <x:c r="M30" s="140"/>
    </x:row>
    <x:row r="31">
      <x:c r="A31" s="140" t="str">
        <x:v>Tgr</x:v>
      </x:c>
      <x:c r="B31" s="140" t="str">
        <x:v>Envases</x:v>
      </x:c>
      <x:c r="C31" s="140" t="n">
        <x:v>2022</x:v>
      </x:c>
      <x:c r="D31" s="209" t="n">
        <x:v>30.9</x:v>
      </x:c>
      <x:c r="E31" s="209" t="n">
        <x:f>Indicadores_validados!J4</x:f>
        <x:v>30.882160703841592</x:v>
      </x:c>
      <x:c r="F31" s="209" t="n">
        <x:f t="shared" si="0">E31-D31</x:f>
        <x:v>-0.017839296158406626</x:v>
      </x:c>
      <x:c r="G31" s="209" t="str">
        <x:f t="shared" si="2">IF(ABS(F31)&lt;=0.05,"OK","REVISAR")</x:f>
        <x:v>OK</x:v>
      </x:c>
      <x:c r="H31" s="211" t="str">
        <x:v>El manuscrito redondea a una decimal (kg/hab/año).</x:v>
      </x:c>
      <x:c r="I31" s="140"/>
      <x:c r="J31" s="140"/>
      <x:c r="K31" s="140"/>
      <x:c r="L31" s="140"/>
      <x:c r="M31" s="140"/>
    </x:row>
    <x:row r="32">
      <x:c r="A32" s="140" t="str">
        <x:v>Tgr</x:v>
      </x:c>
      <x:c r="B32" s="140" t="str">
        <x:v>Envases</x:v>
      </x:c>
      <x:c r="C32" s="140" t="n">
        <x:v>2023</x:v>
      </x:c>
      <x:c r="D32" s="209" t="n">
        <x:v>28.2</x:v>
      </x:c>
      <x:c r="E32" s="209" t="n">
        <x:f>Indicadores_validados!K4</x:f>
        <x:v>28.20106074444391</x:v>
      </x:c>
      <x:c r="F32" s="209" t="n">
        <x:f t="shared" si="0">E32-D32</x:f>
        <x:v>0.0010607444439116875</x:v>
      </x:c>
      <x:c r="G32" s="209" t="str">
        <x:f t="shared" si="2">IF(ABS(F32)&lt;=0.05,"OK","REVISAR")</x:f>
        <x:v>OK</x:v>
      </x:c>
      <x:c r="H32" s="211" t="str">
        <x:v>El manuscrito redondea a una decimal (kg/hab/año).</x:v>
      </x:c>
      <x:c r="I32" s="140"/>
      <x:c r="J32" s="140"/>
      <x:c r="K32" s="140"/>
      <x:c r="L32" s="140"/>
      <x:c r="M32" s="140"/>
    </x:row>
    <x:row r="33">
      <x:c r="A33" s="140" t="str">
        <x:v>Tgr</x:v>
      </x:c>
      <x:c r="B33" s="140" t="str">
        <x:v>Envases</x:v>
      </x:c>
      <x:c r="C33" s="140" t="n">
        <x:v>2024</x:v>
      </x:c>
      <x:c r="D33" s="209" t="n">
        <x:v>30.1</x:v>
      </x:c>
      <x:c r="E33" s="209" t="n">
        <x:f>Indicadores_validados!L4</x:f>
        <x:v>30.065615230249822</x:v>
      </x:c>
      <x:c r="F33" s="209" t="n">
        <x:f t="shared" si="0">E33-D33</x:f>
        <x:v>-0.034384769750179345</x:v>
      </x:c>
      <x:c r="G33" s="209" t="str">
        <x:f t="shared" si="2">IF(ABS(F33)&lt;=0.05,"OK","REVISAR")</x:f>
        <x:v>OK</x:v>
      </x:c>
      <x:c r="H33" s="211" t="str">
        <x:v>El manuscrito redondea a una decimal (kg/hab/año).</x:v>
      </x:c>
      <x:c r="I33" s="140"/>
      <x:c r="J33" s="140"/>
      <x:c r="K33" s="140"/>
      <x:c r="L33" s="140"/>
      <x:c r="M33" s="140"/>
    </x:row>
    <x:row r="34">
      <x:c r="A34" s="140" t="str">
        <x:v>Tgr</x:v>
      </x:c>
      <x:c r="B34" s="140" t="str">
        <x:v>Envases</x:v>
      </x:c>
      <x:c r="C34" s="140" t="n">
        <x:v>2025</x:v>
      </x:c>
      <x:c r="D34" s="209" t="n">
        <x:v>32.4</x:v>
      </x:c>
      <x:c r="E34" s="209" t="n">
        <x:f>Indicadores_validados!M4</x:f>
        <x:v>32.3626664980188</x:v>
      </x:c>
      <x:c r="F34" s="209" t="n">
        <x:f t="shared" ref="F34:F65" si="3">E34-D34</x:f>
        <x:v>-0.03733350198120178</x:v>
      </x:c>
      <x:c r="G34" s="209" t="str">
        <x:f t="shared" si="2">IF(ABS(F34)&lt;=0.05,"OK","REVISAR")</x:f>
        <x:v>OK</x:v>
      </x:c>
      <x:c r="H34" s="211" t="str">
        <x:v>El manuscrito redondea a una decimal (kg/hab/año).</x:v>
      </x:c>
      <x:c r="I34" s="140"/>
      <x:c r="J34" s="140"/>
      <x:c r="K34" s="140"/>
      <x:c r="L34" s="140"/>
      <x:c r="M34" s="140"/>
    </x:row>
    <x:row r="35">
      <x:c r="A35" s="140" t="str">
        <x:v>eC</x:v>
      </x:c>
      <x:c r="B35" s="140" t="str">
        <x:v>PET</x:v>
      </x:c>
      <x:c r="C35" s="140" t="n">
        <x:v>2015</x:v>
      </x:c>
      <x:c r="D35" s="208" t="n">
        <x:v>0.1295</x:v>
      </x:c>
      <x:c r="E35" s="208" t="n">
        <x:f>Indicadores_validados!C7</x:f>
        <x:v>0.1295468914646997</x:v>
      </x:c>
      <x:c r="F35" s="208" t="n">
        <x:f t="shared" si="3">E35-D35</x:f>
        <x:v>0.000046891464699688745</x:v>
      </x:c>
      <x:c r="G35" s="208" t="str">
        <x:f t="shared" ref="G35:G66" si="4">IF(ABS(F35)&lt;=0.00006,"OK","REVISAR")</x:f>
        <x:v>OK</x:v>
      </x:c>
      <x:c r="H35" s="211" t="str">
        <x:v>Definición aprobada: Qrec/Qvir; el manuscrito muestra cuatro decimales.</x:v>
      </x:c>
      <x:c r="I35" s="140"/>
      <x:c r="J35" s="140"/>
      <x:c r="K35" s="140"/>
      <x:c r="L35" s="140"/>
      <x:c r="M35" s="140"/>
    </x:row>
    <x:row r="36">
      <x:c r="A36" s="140" t="str">
        <x:v>eC</x:v>
      </x:c>
      <x:c r="B36" s="140" t="str">
        <x:v>PET</x:v>
      </x:c>
      <x:c r="C36" s="140" t="n">
        <x:v>2016</x:v>
      </x:c>
      <x:c r="D36" s="208" t="n">
        <x:v>0.1283</x:v>
      </x:c>
      <x:c r="E36" s="208" t="n">
        <x:f>Indicadores_validados!D7</x:f>
        <x:v>0.12831645965974325</x:v>
      </x:c>
      <x:c r="F36" s="208" t="n">
        <x:f t="shared" si="3">E36-D36</x:f>
        <x:v>0.000016459659743256472</x:v>
      </x:c>
      <x:c r="G36" s="208" t="str">
        <x:f t="shared" si="4">IF(ABS(F36)&lt;=0.00006,"OK","REVISAR")</x:f>
        <x:v>OK</x:v>
      </x:c>
      <x:c r="H36" s="211" t="str">
        <x:v>Definición aprobada: Qrec/Qvir; el manuscrito muestra cuatro decimales.</x:v>
      </x:c>
      <x:c r="I36" s="140"/>
      <x:c r="J36" s="140"/>
      <x:c r="K36" s="140"/>
      <x:c r="L36" s="140"/>
      <x:c r="M36" s="140"/>
    </x:row>
    <x:row r="37">
      <x:c r="A37" s="140" t="str">
        <x:v>eC</x:v>
      </x:c>
      <x:c r="B37" s="140" t="str">
        <x:v>PET</x:v>
      </x:c>
      <x:c r="C37" s="140" t="n">
        <x:v>2017</x:v>
      </x:c>
      <x:c r="D37" s="208" t="n">
        <x:v>0.1163</x:v>
      </x:c>
      <x:c r="E37" s="208" t="n">
        <x:f>Indicadores_validados!E7</x:f>
        <x:v>0.11631720430107527</x:v>
      </x:c>
      <x:c r="F37" s="208" t="n">
        <x:f t="shared" si="3">E37-D37</x:f>
        <x:v>0.000017204301075268713</x:v>
      </x:c>
      <x:c r="G37" s="208" t="str">
        <x:f t="shared" si="4">IF(ABS(F37)&lt;=0.00006,"OK","REVISAR")</x:f>
        <x:v>OK</x:v>
      </x:c>
      <x:c r="H37" s="211" t="str">
        <x:v>Definición aprobada: Qrec/Qvir; el manuscrito muestra cuatro decimales.</x:v>
      </x:c>
      <x:c r="I37" s="140"/>
      <x:c r="J37" s="140"/>
      <x:c r="K37" s="140"/>
      <x:c r="L37" s="140"/>
      <x:c r="M37" s="140"/>
    </x:row>
    <x:row r="38">
      <x:c r="A38" s="140" t="str">
        <x:v>eC</x:v>
      </x:c>
      <x:c r="B38" s="140" t="str">
        <x:v>PET</x:v>
      </x:c>
      <x:c r="C38" s="140" t="n">
        <x:v>2018</x:v>
      </x:c>
      <x:c r="D38" s="208" t="n">
        <x:v>0.1386</x:v>
      </x:c>
      <x:c r="E38" s="208" t="n">
        <x:f>Indicadores_validados!F7</x:f>
        <x:v>0.13858834244080145</x:v>
      </x:c>
      <x:c r="F38" s="208" t="n">
        <x:f t="shared" si="3">E38-D38</x:f>
        <x:v>-0.00001165755919854683</x:v>
      </x:c>
      <x:c r="G38" s="208" t="str">
        <x:f t="shared" si="4">IF(ABS(F38)&lt;=0.00006,"OK","REVISAR")</x:f>
        <x:v>OK</x:v>
      </x:c>
      <x:c r="H38" s="211" t="str">
        <x:v>Definición aprobada: Qrec/Qvir; el manuscrito muestra cuatro decimales.</x:v>
      </x:c>
      <x:c r="I38" s="140"/>
      <x:c r="J38" s="140"/>
      <x:c r="K38" s="140"/>
      <x:c r="L38" s="140"/>
      <x:c r="M38" s="140"/>
    </x:row>
    <x:row r="39">
      <x:c r="A39" s="140" t="str">
        <x:v>eC</x:v>
      </x:c>
      <x:c r="B39" s="140" t="str">
        <x:v>PET</x:v>
      </x:c>
      <x:c r="C39" s="140" t="n">
        <x:v>2019</x:v>
      </x:c>
      <x:c r="D39" s="208" t="n">
        <x:v>0.1689</x:v>
      </x:c>
      <x:c r="E39" s="208" t="n">
        <x:f>Indicadores_validados!G7</x:f>
        <x:v>0.1689433237271854</x:v>
      </x:c>
      <x:c r="F39" s="208" t="n">
        <x:f t="shared" si="3">E39-D39</x:f>
        <x:v>0.000043323727185407</x:v>
      </x:c>
      <x:c r="G39" s="208" t="str">
        <x:f t="shared" si="4">IF(ABS(F39)&lt;=0.00006,"OK","REVISAR")</x:f>
        <x:v>OK</x:v>
      </x:c>
      <x:c r="H39" s="211" t="str">
        <x:v>Definición aprobada: Qrec/Qvir; el manuscrito muestra cuatro decimales.</x:v>
      </x:c>
      <x:c r="I39" s="140"/>
      <x:c r="J39" s="140"/>
      <x:c r="K39" s="140"/>
      <x:c r="L39" s="140"/>
      <x:c r="M39" s="140"/>
    </x:row>
    <x:row r="40">
      <x:c r="A40" s="140" t="str">
        <x:v>eC</x:v>
      </x:c>
      <x:c r="B40" s="140" t="str">
        <x:v>PET</x:v>
      </x:c>
      <x:c r="C40" s="140" t="n">
        <x:v>2020</x:v>
      </x:c>
      <x:c r="D40" s="208" t="n">
        <x:v>0.1874</x:v>
      </x:c>
      <x:c r="E40" s="208" t="n">
        <x:f>Indicadores_validados!H7</x:f>
        <x:v>0.18739109153206068</x:v>
      </x:c>
      <x:c r="F40" s="208" t="n">
        <x:f t="shared" si="3">E40-D40</x:f>
        <x:v>-0.00000890846793932809</x:v>
      </x:c>
      <x:c r="G40" s="208" t="str">
        <x:f t="shared" si="4">IF(ABS(F40)&lt;=0.00006,"OK","REVISAR")</x:f>
        <x:v>OK</x:v>
      </x:c>
      <x:c r="H40" s="211" t="str">
        <x:v>Definición aprobada: Qrec/Qvir; el manuscrito muestra cuatro decimales.</x:v>
      </x:c>
      <x:c r="I40" s="140"/>
      <x:c r="J40" s="140"/>
      <x:c r="K40" s="140"/>
      <x:c r="L40" s="140"/>
      <x:c r="M40" s="140"/>
    </x:row>
    <x:row r="41">
      <x:c r="A41" s="140" t="str">
        <x:v>eC</x:v>
      </x:c>
      <x:c r="B41" s="140" t="str">
        <x:v>PET</x:v>
      </x:c>
      <x:c r="C41" s="140" t="n">
        <x:v>2021</x:v>
      </x:c>
      <x:c r="D41" s="208" t="n">
        <x:v>0.2049</x:v>
      </x:c>
      <x:c r="E41" s="208" t="n">
        <x:f>Indicadores_validados!I7</x:f>
        <x:v>0.204911838790932</x:v>
      </x:c>
      <x:c r="F41" s="208" t="n">
        <x:f t="shared" si="3">E41-D41</x:f>
        <x:v>0.000011838790932000576</x:v>
      </x:c>
      <x:c r="G41" s="208" t="str">
        <x:f t="shared" si="4">IF(ABS(F41)&lt;=0.00006,"OK","REVISAR")</x:f>
        <x:v>OK</x:v>
      </x:c>
      <x:c r="H41" s="211" t="str">
        <x:v>Definición aprobada: Qrec/Qvir; el manuscrito muestra cuatro decimales.</x:v>
      </x:c>
      <x:c r="I41" s="140"/>
      <x:c r="J41" s="140"/>
      <x:c r="K41" s="140"/>
      <x:c r="L41" s="140"/>
      <x:c r="M41" s="140"/>
    </x:row>
    <x:row r="42">
      <x:c r="A42" s="140" t="str">
        <x:v>eC</x:v>
      </x:c>
      <x:c r="B42" s="140" t="str">
        <x:v>PET</x:v>
      </x:c>
      <x:c r="C42" s="140" t="n">
        <x:v>2022</x:v>
      </x:c>
      <x:c r="D42" s="208" t="n">
        <x:v>0.2155</x:v>
      </x:c>
      <x:c r="E42" s="208" t="n">
        <x:f>Indicadores_validados!J7</x:f>
        <x:v>0.21550660792951543</x:v>
      </x:c>
      <x:c r="F42" s="208" t="n">
        <x:f t="shared" si="3">E42-D42</x:f>
        <x:v>0.000006607929515428657</x:v>
      </x:c>
      <x:c r="G42" s="208" t="str">
        <x:f t="shared" si="4">IF(ABS(F42)&lt;=0.00006,"OK","REVISAR")</x:f>
        <x:v>OK</x:v>
      </x:c>
      <x:c r="H42" s="211" t="str">
        <x:v>Definición aprobada: Qrec/Qvir; el manuscrito muestra cuatro decimales.</x:v>
      </x:c>
      <x:c r="I42" s="140"/>
      <x:c r="J42" s="140"/>
      <x:c r="K42" s="140"/>
      <x:c r="L42" s="140"/>
      <x:c r="M42" s="140"/>
    </x:row>
    <x:row r="43">
      <x:c r="A43" s="140" t="str">
        <x:v>eC</x:v>
      </x:c>
      <x:c r="B43" s="140" t="str">
        <x:v>PET</x:v>
      </x:c>
      <x:c r="C43" s="140" t="n">
        <x:v>2023</x:v>
      </x:c>
      <x:c r="D43" s="208" t="n">
        <x:v>0.2464</x:v>
      </x:c>
      <x:c r="E43" s="208" t="n">
        <x:f>Indicadores_validados!K7</x:f>
        <x:v>0.24643939393939393</x:v>
      </x:c>
      <x:c r="F43" s="208" t="n">
        <x:f t="shared" si="3">E43-D43</x:f>
        <x:v>0.00003939393939392244</x:v>
      </x:c>
      <x:c r="G43" s="208" t="str">
        <x:f t="shared" si="4">IF(ABS(F43)&lt;=0.00006,"OK","REVISAR")</x:f>
        <x:v>OK</x:v>
      </x:c>
      <x:c r="H43" s="211" t="str">
        <x:v>Definición aprobada: Qrec/Qvir; el manuscrito muestra cuatro decimales.</x:v>
      </x:c>
      <x:c r="I43" s="140"/>
      <x:c r="J43" s="140"/>
      <x:c r="K43" s="140"/>
      <x:c r="L43" s="140"/>
      <x:c r="M43" s="140"/>
    </x:row>
    <x:row r="44">
      <x:c r="A44" s="140" t="str">
        <x:v>eC</x:v>
      </x:c>
      <x:c r="B44" s="140" t="str">
        <x:v>PET</x:v>
      </x:c>
      <x:c r="C44" s="140" t="n">
        <x:v>2024</x:v>
      </x:c>
      <x:c r="D44" s="208" t="n">
        <x:v>0.2193</x:v>
      </x:c>
      <x:c r="E44" s="208" t="n">
        <x:f>Indicadores_validados!L7</x:f>
        <x:v>0.21926115737774926</x:v>
      </x:c>
      <x:c r="F44" s="208" t="n">
        <x:f t="shared" si="3">E44-D44</x:f>
        <x:v>-0.000038842622250734316</x:v>
      </x:c>
      <x:c r="G44" s="208" t="str">
        <x:f t="shared" si="4">IF(ABS(F44)&lt;=0.00006,"OK","REVISAR")</x:f>
        <x:v>OK</x:v>
      </x:c>
      <x:c r="H44" s="211" t="str">
        <x:v>Definición aprobada: Qrec/Qvir; el manuscrito muestra cuatro decimales.</x:v>
      </x:c>
      <x:c r="I44" s="140"/>
      <x:c r="J44" s="140"/>
      <x:c r="K44" s="140"/>
      <x:c r="L44" s="140"/>
      <x:c r="M44" s="140"/>
    </x:row>
    <x:row r="45">
      <x:c r="A45" s="140" t="str">
        <x:v>eC</x:v>
      </x:c>
      <x:c r="B45" s="140" t="str">
        <x:v>PET</x:v>
      </x:c>
      <x:c r="C45" s="140" t="n">
        <x:v>2025</x:v>
      </x:c>
      <x:c r="D45" s="208" t="n">
        <x:v>0.203</x:v>
      </x:c>
      <x:c r="E45" s="208" t="n">
        <x:f>Indicadores_validados!M7</x:f>
        <x:v>0.20301959016458265</x:v>
      </x:c>
      <x:c r="F45" s="208" t="n">
        <x:f t="shared" si="3">E45-D45</x:f>
        <x:v>0.00001959016458263907</x:v>
      </x:c>
      <x:c r="G45" s="208" t="str">
        <x:f t="shared" si="4">IF(ABS(F45)&lt;=0.00006,"OK","REVISAR")</x:f>
        <x:v>OK</x:v>
      </x:c>
      <x:c r="H45" s="211" t="str">
        <x:v>Definición aprobada: Qrec/Qvir; el manuscrito muestra cuatro decimales.</x:v>
      </x:c>
      <x:c r="I45" s="140"/>
      <x:c r="J45" s="140"/>
      <x:c r="K45" s="140"/>
      <x:c r="L45" s="140"/>
      <x:c r="M45" s="140"/>
    </x:row>
    <x:row r="46">
      <x:c r="A46" s="140" t="str">
        <x:v>eC</x:v>
      </x:c>
      <x:c r="B46" s="140" t="str">
        <x:v>PP</x:v>
      </x:c>
      <x:c r="C46" s="140" t="n">
        <x:v>2015</x:v>
      </x:c>
      <x:c r="D46" s="208" t="n">
        <x:v>0.2256</x:v>
      </x:c>
      <x:c r="E46" s="208" t="n">
        <x:f>Indicadores_validados!C8</x:f>
        <x:v>0.22561643835616438</x:v>
      </x:c>
      <x:c r="F46" s="208" t="n">
        <x:f t="shared" si="3">E46-D46</x:f>
        <x:v>0.000016438356164383272</x:v>
      </x:c>
      <x:c r="G46" s="208" t="str">
        <x:f t="shared" si="4">IF(ABS(F46)&lt;=0.00006,"OK","REVISAR")</x:f>
        <x:v>OK</x:v>
      </x:c>
      <x:c r="H46" s="211" t="str">
        <x:v>Definición aprobada: Qrec/Qvir; el manuscrito muestra cuatro decimales.</x:v>
      </x:c>
      <x:c r="I46" s="140"/>
      <x:c r="J46" s="140"/>
      <x:c r="K46" s="140"/>
      <x:c r="L46" s="140"/>
      <x:c r="M46" s="140"/>
    </x:row>
    <x:row r="47">
      <x:c r="A47" s="140" t="str">
        <x:v>eC</x:v>
      </x:c>
      <x:c r="B47" s="140" t="str">
        <x:v>PP</x:v>
      </x:c>
      <x:c r="C47" s="140" t="n">
        <x:v>2016</x:v>
      </x:c>
      <x:c r="D47" s="208" t="n">
        <x:v>0.1584</x:v>
      </x:c>
      <x:c r="E47" s="208" t="n">
        <x:f>Indicadores_validados!D8</x:f>
        <x:v>0.1583653846153846</x:v>
      </x:c>
      <x:c r="F47" s="208" t="n">
        <x:f t="shared" si="3">E47-D47</x:f>
        <x:v>-0.000034615384615410694</x:v>
      </x:c>
      <x:c r="G47" s="208" t="str">
        <x:f t="shared" si="4">IF(ABS(F47)&lt;=0.00006,"OK","REVISAR")</x:f>
        <x:v>OK</x:v>
      </x:c>
      <x:c r="H47" s="211" t="str">
        <x:v>Definición aprobada: Qrec/Qvir; el manuscrito muestra cuatro decimales.</x:v>
      </x:c>
      <x:c r="I47" s="140"/>
      <x:c r="J47" s="140"/>
      <x:c r="K47" s="140"/>
      <x:c r="L47" s="140"/>
      <x:c r="M47" s="140"/>
    </x:row>
    <x:row r="48">
      <x:c r="A48" s="140" t="str">
        <x:v>eC</x:v>
      </x:c>
      <x:c r="B48" s="140" t="str">
        <x:v>PP</x:v>
      </x:c>
      <x:c r="C48" s="140" t="n">
        <x:v>2017</x:v>
      </x:c>
      <x:c r="D48" s="208" t="n">
        <x:v>0.1377</x:v>
      </x:c>
      <x:c r="E48" s="208" t="n">
        <x:f>Indicadores_validados!E8</x:f>
        <x:v>0.1377049180327869</x:v>
      </x:c>
      <x:c r="F48" s="208" t="n">
        <x:f t="shared" si="3">E48-D48</x:f>
        <x:v>0.000004918032786904725</x:v>
      </x:c>
      <x:c r="G48" s="208" t="str">
        <x:f t="shared" si="4">IF(ABS(F48)&lt;=0.00006,"OK","REVISAR")</x:f>
        <x:v>OK</x:v>
      </x:c>
      <x:c r="H48" s="211" t="str">
        <x:v>Definición aprobada: Qrec/Qvir; el manuscrito muestra cuatro decimales.</x:v>
      </x:c>
      <x:c r="I48" s="140"/>
      <x:c r="J48" s="140"/>
      <x:c r="K48" s="140"/>
      <x:c r="L48" s="140"/>
      <x:c r="M48" s="140"/>
    </x:row>
    <x:row r="49">
      <x:c r="A49" s="140" t="str">
        <x:v>eC</x:v>
      </x:c>
      <x:c r="B49" s="140" t="str">
        <x:v>PP</x:v>
      </x:c>
      <x:c r="C49" s="140" t="n">
        <x:v>2018</x:v>
      </x:c>
      <x:c r="D49" s="208" t="n">
        <x:v>0.0143</x:v>
      </x:c>
      <x:c r="E49" s="208" t="n">
        <x:f>Indicadores_validados!F8</x:f>
        <x:v>0.014332152913189448</x:v>
      </x:c>
      <x:c r="F49" s="208" t="n">
        <x:f t="shared" si="3">E49-D49</x:f>
        <x:v>0.00003215291318944824</x:v>
      </x:c>
      <x:c r="G49" s="208" t="str">
        <x:f t="shared" si="4">IF(ABS(F49)&lt;=0.00006,"OK","REVISAR")</x:f>
        <x:v>OK</x:v>
      </x:c>
      <x:c r="H49" s="211" t="str">
        <x:v>Definición aprobada: Qrec/Qvir; el manuscrito muestra cuatro decimales.</x:v>
      </x:c>
      <x:c r="I49" s="140"/>
      <x:c r="J49" s="140"/>
      <x:c r="K49" s="140"/>
      <x:c r="L49" s="140"/>
      <x:c r="M49" s="140"/>
    </x:row>
    <x:row r="50">
      <x:c r="A50" s="140" t="str">
        <x:v>eC</x:v>
      </x:c>
      <x:c r="B50" s="140" t="str">
        <x:v>PP</x:v>
      </x:c>
      <x:c r="C50" s="140" t="n">
        <x:v>2019</x:v>
      </x:c>
      <x:c r="D50" s="208" t="n">
        <x:v>0.0148</x:v>
      </x:c>
      <x:c r="E50" s="208" t="n">
        <x:f>Indicadores_validados!G8</x:f>
        <x:v>0.014802333041816348</x:v>
      </x:c>
      <x:c r="F50" s="208" t="n">
        <x:f t="shared" si="3">E50-D50</x:f>
        <x:v>0.000002333041816347456</x:v>
      </x:c>
      <x:c r="G50" s="208" t="str">
        <x:f t="shared" si="4">IF(ABS(F50)&lt;=0.00006,"OK","REVISAR")</x:f>
        <x:v>OK</x:v>
      </x:c>
      <x:c r="H50" s="211" t="str">
        <x:v>Definición aprobada: Qrec/Qvir; el manuscrito muestra cuatro decimales.</x:v>
      </x:c>
      <x:c r="I50" s="140"/>
      <x:c r="J50" s="140"/>
      <x:c r="K50" s="140"/>
      <x:c r="L50" s="140"/>
      <x:c r="M50" s="140"/>
    </x:row>
    <x:row r="51">
      <x:c r="A51" s="140" t="str">
        <x:v>eC</x:v>
      </x:c>
      <x:c r="B51" s="140" t="str">
        <x:v>PP</x:v>
      </x:c>
      <x:c r="C51" s="140" t="n">
        <x:v>2020</x:v>
      </x:c>
      <x:c r="D51" s="208" t="n">
        <x:v>0.3492</x:v>
      </x:c>
      <x:c r="E51" s="208" t="n">
        <x:f>Indicadores_validados!H8</x:f>
        <x:v>0.3491631353777625</x:v>
      </x:c>
      <x:c r="F51" s="208" t="n">
        <x:f t="shared" si="3">E51-D51</x:f>
        <x:v>-0.00003686462223750908</x:v>
      </x:c>
      <x:c r="G51" s="208" t="str">
        <x:f t="shared" si="4">IF(ABS(F51)&lt;=0.00006,"OK","REVISAR")</x:f>
        <x:v>OK</x:v>
      </x:c>
      <x:c r="H51" s="211" t="str">
        <x:v>Definición aprobada: Qrec/Qvir; el manuscrito muestra cuatro decimales.</x:v>
      </x:c>
      <x:c r="I51" s="140"/>
      <x:c r="J51" s="140"/>
      <x:c r="K51" s="140"/>
      <x:c r="L51" s="140"/>
      <x:c r="M51" s="140"/>
    </x:row>
    <x:row r="52">
      <x:c r="A52" s="140" t="str">
        <x:v>eC</x:v>
      </x:c>
      <x:c r="B52" s="140" t="str">
        <x:v>PP</x:v>
      </x:c>
      <x:c r="C52" s="140" t="n">
        <x:v>2021</x:v>
      </x:c>
      <x:c r="D52" s="208" t="n">
        <x:v>0.3541</x:v>
      </x:c>
      <x:c r="E52" s="208" t="n">
        <x:f>Indicadores_validados!I8</x:f>
        <x:v>0.35411585398736606</x:v>
      </x:c>
      <x:c r="F52" s="208" t="n">
        <x:f t="shared" si="3">E52-D52</x:f>
        <x:v>0.000015853987366032385</x:v>
      </x:c>
      <x:c r="G52" s="208" t="str">
        <x:f t="shared" si="4">IF(ABS(F52)&lt;=0.00006,"OK","REVISAR")</x:f>
        <x:v>OK</x:v>
      </x:c>
      <x:c r="H52" s="211" t="str">
        <x:v>Definición aprobada: Qrec/Qvir; el manuscrito muestra cuatro decimales.</x:v>
      </x:c>
      <x:c r="I52" s="140"/>
      <x:c r="J52" s="140"/>
      <x:c r="K52" s="140"/>
      <x:c r="L52" s="140"/>
      <x:c r="M52" s="140"/>
    </x:row>
    <x:row r="53">
      <x:c r="A53" s="140" t="str">
        <x:v>eC</x:v>
      </x:c>
      <x:c r="B53" s="140" t="str">
        <x:v>PP</x:v>
      </x:c>
      <x:c r="C53" s="140" t="n">
        <x:v>2022</x:v>
      </x:c>
      <x:c r="D53" s="208" t="n">
        <x:v>0.3679</x:v>
      </x:c>
      <x:c r="E53" s="208" t="n">
        <x:f>Indicadores_validados!J8</x:f>
        <x:v>0.3678623872456471</x:v>
      </x:c>
      <x:c r="F53" s="208" t="n">
        <x:f t="shared" si="3">E53-D53</x:f>
        <x:v>-0.00003761275435287814</x:v>
      </x:c>
      <x:c r="G53" s="208" t="str">
        <x:f t="shared" si="4">IF(ABS(F53)&lt;=0.00006,"OK","REVISAR")</x:f>
        <x:v>OK</x:v>
      </x:c>
      <x:c r="H53" s="211" t="str">
        <x:v>Definición aprobada: Qrec/Qvir; el manuscrito muestra cuatro decimales.</x:v>
      </x:c>
      <x:c r="I53" s="140"/>
      <x:c r="J53" s="140"/>
      <x:c r="K53" s="140"/>
      <x:c r="L53" s="140"/>
      <x:c r="M53" s="140"/>
    </x:row>
    <x:row r="54">
      <x:c r="A54" s="140" t="str">
        <x:v>eC</x:v>
      </x:c>
      <x:c r="B54" s="140" t="str">
        <x:v>PP</x:v>
      </x:c>
      <x:c r="C54" s="140" t="n">
        <x:v>2023</x:v>
      </x:c>
      <x:c r="D54" s="208" t="n">
        <x:v>0.309</x:v>
      </x:c>
      <x:c r="E54" s="208" t="n">
        <x:f>Indicadores_validados!K8</x:f>
        <x:v>0.3089516129032258</x:v>
      </x:c>
      <x:c r="F54" s="208" t="n">
        <x:f t="shared" si="3">E54-D54</x:f>
        <x:v>-0.00004838709677418285</x:v>
      </x:c>
      <x:c r="G54" s="208" t="str">
        <x:f t="shared" si="4">IF(ABS(F54)&lt;=0.00006,"OK","REVISAR")</x:f>
        <x:v>OK</x:v>
      </x:c>
      <x:c r="H54" s="211" t="str">
        <x:v>Definición aprobada: Qrec/Qvir; el manuscrito muestra cuatro decimales.</x:v>
      </x:c>
      <x:c r="I54" s="140"/>
      <x:c r="J54" s="140"/>
      <x:c r="K54" s="140"/>
      <x:c r="L54" s="140"/>
      <x:c r="M54" s="140"/>
    </x:row>
    <x:row r="55">
      <x:c r="A55" s="140" t="str">
        <x:v>eC</x:v>
      </x:c>
      <x:c r="B55" s="140" t="str">
        <x:v>PP</x:v>
      </x:c>
      <x:c r="C55" s="140" t="n">
        <x:v>2024</x:v>
      </x:c>
      <x:c r="D55" s="208" t="n">
        <x:v>0.3193</x:v>
      </x:c>
      <x:c r="E55" s="208" t="n">
        <x:f>Indicadores_validados!L8</x:f>
        <x:v>0.3193125</x:v>
      </x:c>
      <x:c r="F55" s="208" t="n">
        <x:f t="shared" si="3">E55-D55</x:f>
        <x:v>0.000012500000000026379</x:v>
      </x:c>
      <x:c r="G55" s="208" t="str">
        <x:f t="shared" si="4">IF(ABS(F55)&lt;=0.00006,"OK","REVISAR")</x:f>
        <x:v>OK</x:v>
      </x:c>
      <x:c r="H55" s="211" t="str">
        <x:v>Definición aprobada: Qrec/Qvir; el manuscrito muestra cuatro decimales.</x:v>
      </x:c>
      <x:c r="I55" s="140"/>
      <x:c r="J55" s="140"/>
      <x:c r="K55" s="140"/>
      <x:c r="L55" s="140"/>
      <x:c r="M55" s="140"/>
    </x:row>
    <x:row r="56">
      <x:c r="A56" s="140" t="str">
        <x:v>eC</x:v>
      </x:c>
      <x:c r="B56" s="140" t="str">
        <x:v>PP</x:v>
      </x:c>
      <x:c r="C56" s="140" t="n">
        <x:v>2025</x:v>
      </x:c>
      <x:c r="D56" s="208" t="n">
        <x:v>0.2654</x:v>
      </x:c>
      <x:c r="E56" s="208" t="n">
        <x:f>Indicadores_validados!M8</x:f>
        <x:v>0.2654025974025974</x:v>
      </x:c>
      <x:c r="F56" s="208" t="n">
        <x:f t="shared" si="3">E56-D56</x:f>
        <x:v>0.0000025974025973929393</x:v>
      </x:c>
      <x:c r="G56" s="208" t="str">
        <x:f t="shared" si="4">IF(ABS(F56)&lt;=0.00006,"OK","REVISAR")</x:f>
        <x:v>OK</x:v>
      </x:c>
      <x:c r="H56" s="211" t="str">
        <x:v>Definición aprobada: Qrec/Qvir; el manuscrito muestra cuatro decimales.</x:v>
      </x:c>
      <x:c r="I56" s="140"/>
      <x:c r="J56" s="140"/>
      <x:c r="K56" s="140"/>
      <x:c r="L56" s="140"/>
      <x:c r="M56" s="140"/>
    </x:row>
    <x:row r="57">
      <x:c r="A57" s="140" t="str">
        <x:v>eC</x:v>
      </x:c>
      <x:c r="B57" s="140" t="str">
        <x:v>PE</x:v>
      </x:c>
      <x:c r="C57" s="140" t="n">
        <x:v>2015</x:v>
      </x:c>
      <x:c r="D57" s="208" t="n">
        <x:v>0.1246</x:v>
      </x:c>
      <x:c r="E57" s="208" t="n">
        <x:f>Indicadores_validados!C9</x:f>
        <x:v>0.12463013698630138</x:v>
      </x:c>
      <x:c r="F57" s="208" t="n">
        <x:f t="shared" si="3">E57-D57</x:f>
        <x:v>0.000030136986301373958</x:v>
      </x:c>
      <x:c r="G57" s="208" t="str">
        <x:f t="shared" si="4">IF(ABS(F57)&lt;=0.00006,"OK","REVISAR")</x:f>
        <x:v>OK</x:v>
      </x:c>
      <x:c r="H57" s="211" t="str">
        <x:v>Definición aprobada: Qrec/Qvir; el manuscrito muestra cuatro decimales.</x:v>
      </x:c>
      <x:c r="I57" s="140"/>
      <x:c r="J57" s="140"/>
      <x:c r="K57" s="140"/>
      <x:c r="L57" s="140"/>
      <x:c r="M57" s="140"/>
    </x:row>
    <x:row r="58">
      <x:c r="A58" s="140" t="str">
        <x:v>eC</x:v>
      </x:c>
      <x:c r="B58" s="140" t="str">
        <x:v>PE</x:v>
      </x:c>
      <x:c r="C58" s="140" t="n">
        <x:v>2016</x:v>
      </x:c>
      <x:c r="D58" s="208" t="n">
        <x:v>0.1237</x:v>
      </x:c>
      <x:c r="E58" s="208" t="n">
        <x:f>Indicadores_validados!D9</x:f>
        <x:v>0.12368882175226587</x:v>
      </x:c>
      <x:c r="F58" s="208" t="n">
        <x:f t="shared" si="3">E58-D58</x:f>
        <x:v>-0.000011178247734139335</x:v>
      </x:c>
      <x:c r="G58" s="208" t="str">
        <x:f t="shared" si="4">IF(ABS(F58)&lt;=0.00006,"OK","REVISAR")</x:f>
        <x:v>OK</x:v>
      </x:c>
      <x:c r="H58" s="211" t="str">
        <x:v>Definición aprobada: Qrec/Qvir; el manuscrito muestra cuatro decimales.</x:v>
      </x:c>
      <x:c r="I58" s="140"/>
      <x:c r="J58" s="140"/>
      <x:c r="K58" s="140"/>
      <x:c r="L58" s="140"/>
      <x:c r="M58" s="140"/>
    </x:row>
    <x:row r="59">
      <x:c r="A59" s="140" t="str">
        <x:v>eC</x:v>
      </x:c>
      <x:c r="B59" s="140" t="str">
        <x:v>PE</x:v>
      </x:c>
      <x:c r="C59" s="140" t="n">
        <x:v>2017</x:v>
      </x:c>
      <x:c r="D59" s="208" t="n">
        <x:v>0.1273</x:v>
      </x:c>
      <x:c r="E59" s="208" t="n">
        <x:f>Indicadores_validados!E9</x:f>
        <x:v>0.1273170731707317</x:v>
      </x:c>
      <x:c r="F59" s="208" t="n">
        <x:f t="shared" si="3">E59-D59</x:f>
        <x:v>0.000017073170731712883</x:v>
      </x:c>
      <x:c r="G59" s="208" t="str">
        <x:f t="shared" si="4">IF(ABS(F59)&lt;=0.00006,"OK","REVISAR")</x:f>
        <x:v>OK</x:v>
      </x:c>
      <x:c r="H59" s="211" t="str">
        <x:v>Definición aprobada: Qrec/Qvir; el manuscrito muestra cuatro decimales.</x:v>
      </x:c>
      <x:c r="I59" s="140"/>
      <x:c r="J59" s="140"/>
      <x:c r="K59" s="140"/>
      <x:c r="L59" s="140"/>
      <x:c r="M59" s="140"/>
    </x:row>
    <x:row r="60">
      <x:c r="A60" s="140" t="str">
        <x:v>eC</x:v>
      </x:c>
      <x:c r="B60" s="140" t="str">
        <x:v>PE</x:v>
      </x:c>
      <x:c r="C60" s="140" t="n">
        <x:v>2018</x:v>
      </x:c>
      <x:c r="D60" s="208" t="n">
        <x:v>0.1197</x:v>
      </x:c>
      <x:c r="E60" s="208" t="n">
        <x:f>Indicadores_validados!F9</x:f>
        <x:v>0.11966222279903717</x:v>
      </x:c>
      <x:c r="F60" s="208" t="n">
        <x:f t="shared" si="3">E60-D60</x:f>
        <x:v>-0.000037777200962832436</x:v>
      </x:c>
      <x:c r="G60" s="208" t="str">
        <x:f t="shared" si="4">IF(ABS(F60)&lt;=0.00006,"OK","REVISAR")</x:f>
        <x:v>OK</x:v>
      </x:c>
      <x:c r="H60" s="211" t="str">
        <x:v>Definición aprobada: Qrec/Qvir; el manuscrito muestra cuatro decimales.</x:v>
      </x:c>
      <x:c r="I60" s="140"/>
      <x:c r="J60" s="140"/>
      <x:c r="K60" s="140"/>
      <x:c r="L60" s="140"/>
      <x:c r="M60" s="140"/>
    </x:row>
    <x:row r="61">
      <x:c r="A61" s="140" t="str">
        <x:v>eC</x:v>
      </x:c>
      <x:c r="B61" s="140" t="str">
        <x:v>PE</x:v>
      </x:c>
      <x:c r="C61" s="140" t="n">
        <x:v>2019</x:v>
      </x:c>
      <x:c r="D61" s="208" t="n">
        <x:v>0.1182</x:v>
      </x:c>
      <x:c r="E61" s="208" t="n">
        <x:f>Indicadores_validados!G9</x:f>
        <x:v>0.1182200941819562</x:v>
      </x:c>
      <x:c r="F61" s="208" t="n">
        <x:f t="shared" si="3">E61-D61</x:f>
        <x:v>0.000020094181956198387</x:v>
      </x:c>
      <x:c r="G61" s="208" t="str">
        <x:f t="shared" si="4">IF(ABS(F61)&lt;=0.00006,"OK","REVISAR")</x:f>
        <x:v>OK</x:v>
      </x:c>
      <x:c r="H61" s="211" t="str">
        <x:v>Definición aprobada: Qrec/Qvir; el manuscrito muestra cuatro decimales.</x:v>
      </x:c>
      <x:c r="I61" s="140"/>
      <x:c r="J61" s="140"/>
      <x:c r="K61" s="140"/>
      <x:c r="L61" s="140"/>
      <x:c r="M61" s="140"/>
    </x:row>
    <x:row r="62">
      <x:c r="A62" s="140" t="str">
        <x:v>eC</x:v>
      </x:c>
      <x:c r="B62" s="140" t="str">
        <x:v>PE</x:v>
      </x:c>
      <x:c r="C62" s="140" t="n">
        <x:v>2020</x:v>
      </x:c>
      <x:c r="D62" s="208" t="n">
        <x:v>0.1216</x:v>
      </x:c>
      <x:c r="E62" s="208" t="n">
        <x:f>Indicadores_validados!H9</x:f>
        <x:v>0.12155005217164389</x:v>
      </x:c>
      <x:c r="F62" s="208" t="n">
        <x:f t="shared" si="3">E62-D62</x:f>
        <x:v>-0.00004994782835611444</x:v>
      </x:c>
      <x:c r="G62" s="208" t="str">
        <x:f t="shared" si="4">IF(ABS(F62)&lt;=0.00006,"OK","REVISAR")</x:f>
        <x:v>OK</x:v>
      </x:c>
      <x:c r="H62" s="211" t="str">
        <x:v>Definición aprobada: Qrec/Qvir; el manuscrito muestra cuatro decimales.</x:v>
      </x:c>
      <x:c r="I62" s="140"/>
      <x:c r="J62" s="140"/>
      <x:c r="K62" s="140"/>
      <x:c r="L62" s="140"/>
      <x:c r="M62" s="140"/>
    </x:row>
    <x:row r="63">
      <x:c r="A63" s="140" t="str">
        <x:v>eC</x:v>
      </x:c>
      <x:c r="B63" s="140" t="str">
        <x:v>PE</x:v>
      </x:c>
      <x:c r="C63" s="140" t="n">
        <x:v>2021</x:v>
      </x:c>
      <x:c r="D63" s="208" t="n">
        <x:v>0.1198</x:v>
      </x:c>
      <x:c r="E63" s="208" t="n">
        <x:f>Indicadores_validados!I9</x:f>
        <x:v>0.1198403088148105</x:v>
      </x:c>
      <x:c r="F63" s="208" t="n">
        <x:f t="shared" si="3">E63-D63</x:f>
        <x:v>0.00004030881481049964</x:v>
      </x:c>
      <x:c r="G63" s="208" t="str">
        <x:f t="shared" si="4">IF(ABS(F63)&lt;=0.00006,"OK","REVISAR")</x:f>
        <x:v>OK</x:v>
      </x:c>
      <x:c r="H63" s="211" t="str">
        <x:v>Definición aprobada: Qrec/Qvir; el manuscrito muestra cuatro decimales.</x:v>
      </x:c>
      <x:c r="I63" s="140"/>
      <x:c r="J63" s="140"/>
      <x:c r="K63" s="140"/>
      <x:c r="L63" s="140"/>
      <x:c r="M63" s="140"/>
    </x:row>
    <x:row r="64">
      <x:c r="A64" s="140" t="str">
        <x:v>eC</x:v>
      </x:c>
      <x:c r="B64" s="140" t="str">
        <x:v>PE</x:v>
      </x:c>
      <x:c r="C64" s="140" t="n">
        <x:v>2022</x:v>
      </x:c>
      <x:c r="D64" s="208" t="n">
        <x:v>0.1381</x:v>
      </x:c>
      <x:c r="E64" s="208" t="n">
        <x:f>Indicadores_validados!J9</x:f>
        <x:v>0.13811921244268632</x:v>
      </x:c>
      <x:c r="F64" s="208" t="n">
        <x:f t="shared" si="3">E64-D64</x:f>
        <x:v>0.000019212442686322717</x:v>
      </x:c>
      <x:c r="G64" s="208" t="str">
        <x:f t="shared" si="4">IF(ABS(F64)&lt;=0.00006,"OK","REVISAR")</x:f>
        <x:v>OK</x:v>
      </x:c>
      <x:c r="H64" s="211" t="str">
        <x:v>Definición aprobada: Qrec/Qvir; el manuscrito muestra cuatro decimales.</x:v>
      </x:c>
      <x:c r="I64" s="140"/>
      <x:c r="J64" s="140"/>
      <x:c r="K64" s="140"/>
      <x:c r="L64" s="140"/>
      <x:c r="M64" s="140"/>
    </x:row>
    <x:row r="65">
      <x:c r="A65" s="140" t="str">
        <x:v>eC</x:v>
      </x:c>
      <x:c r="B65" s="140" t="str">
        <x:v>PE</x:v>
      </x:c>
      <x:c r="C65" s="140" t="n">
        <x:v>2023</x:v>
      </x:c>
      <x:c r="D65" s="208" t="n">
        <x:v>0.1571</x:v>
      </x:c>
      <x:c r="E65" s="208" t="n">
        <x:f>Indicadores_validados!K9</x:f>
        <x:v>0.1571391454965358</x:v>
      </x:c>
      <x:c r="F65" s="208" t="n">
        <x:f t="shared" si="3">E65-D65</x:f>
        <x:v>0.000039145496535802904</x:v>
      </x:c>
      <x:c r="G65" s="208" t="str">
        <x:f t="shared" si="4">IF(ABS(F65)&lt;=0.00006,"OK","REVISAR")</x:f>
        <x:v>OK</x:v>
      </x:c>
      <x:c r="H65" s="211" t="str">
        <x:v>Definición aprobada: Qrec/Qvir; el manuscrito muestra cuatro decimales.</x:v>
      </x:c>
      <x:c r="I65" s="140"/>
      <x:c r="J65" s="140"/>
      <x:c r="K65" s="140"/>
      <x:c r="L65" s="140"/>
      <x:c r="M65" s="140"/>
    </x:row>
    <x:row r="66">
      <x:c r="A66" s="140" t="str">
        <x:v>eC</x:v>
      </x:c>
      <x:c r="B66" s="140" t="str">
        <x:v>PE</x:v>
      </x:c>
      <x:c r="C66" s="140" t="n">
        <x:v>2024</x:v>
      </x:c>
      <x:c r="D66" s="208" t="n">
        <x:v>0.1685</x:v>
      </x:c>
      <x:c r="E66" s="208" t="n">
        <x:f>Indicadores_validados!L9</x:f>
        <x:v>0.16852433281004708</x:v>
      </x:c>
      <x:c r="F66" s="208" t="n">
        <x:f t="shared" ref="F66:F97" si="5">E66-D66</x:f>
        <x:v>0.000024332810047072995</x:v>
      </x:c>
      <x:c r="G66" s="208" t="str">
        <x:f t="shared" si="4">IF(ABS(F66)&lt;=0.00006,"OK","REVISAR")</x:f>
        <x:v>OK</x:v>
      </x:c>
      <x:c r="H66" s="211" t="str">
        <x:v>Definición aprobada: Qrec/Qvir; el manuscrito muestra cuatro decimales.</x:v>
      </x:c>
      <x:c r="I66" s="140"/>
      <x:c r="J66" s="140"/>
      <x:c r="K66" s="140"/>
      <x:c r="L66" s="140"/>
      <x:c r="M66" s="140"/>
    </x:row>
    <x:row r="67">
      <x:c r="A67" s="140" t="str">
        <x:v>eC</x:v>
      </x:c>
      <x:c r="B67" s="140" t="str">
        <x:v>PE</x:v>
      </x:c>
      <x:c r="C67" s="140" t="n">
        <x:v>2025</x:v>
      </x:c>
      <x:c r="D67" s="208" t="n">
        <x:v>0.1624</x:v>
      </x:c>
      <x:c r="E67" s="208" t="n">
        <x:f>Indicadores_validados!M9</x:f>
        <x:v>0.1623781512605042</x:v>
      </x:c>
      <x:c r="F67" s="208" t="n">
        <x:f t="shared" si="5">E67-D67</x:f>
        <x:v>-0.000021848739495788916</x:v>
      </x:c>
      <x:c r="G67" s="208" t="str">
        <x:f t="shared" ref="G67:G98" si="6">IF(ABS(F67)&lt;=0.00006,"OK","REVISAR")</x:f>
        <x:v>OK</x:v>
      </x:c>
      <x:c r="H67" s="211" t="str">
        <x:v>Definición aprobada: Qrec/Qvir; el manuscrito muestra cuatro decimales.</x:v>
      </x:c>
      <x:c r="I67" s="140"/>
      <x:c r="J67" s="140"/>
      <x:c r="K67" s="140"/>
      <x:c r="L67" s="140"/>
      <x:c r="M67" s="140"/>
    </x:row>
    <x:row r="68">
      <x:c r="A68" s="140" t="str">
        <x:v>IRP_total</x:v>
      </x:c>
      <x:c r="B68" s="140" t="str">
        <x:v>PET+PP+PE</x:v>
      </x:c>
      <x:c r="C68" s="140" t="n">
        <x:v>2015</x:v>
      </x:c>
      <x:c r="D68" s="210" t="n">
        <x:v>0.108447</x:v>
      </x:c>
      <x:c r="E68" s="210" t="n">
        <x:f>Indicadores_validados!C13</x:f>
        <x:v>0.10844732700000001</x:v>
      </x:c>
      <x:c r="F68" s="210" t="n">
        <x:f t="shared" si="5">E68-D68</x:f>
        <x:v>3.270000000082929e-7</x:v>
      </x:c>
      <x:c r="G68" s="210" t="str">
        <x:f t="shared" si="6">IF(ABS(F68)&lt;=6e-7,"OK","REVISAR")</x:f>
        <x:v>OK</x:v>
      </x:c>
      <x:c r="H68" s="211" t="str">
        <x:v>Total de PET, PP y PE; el manuscrito muestra Mt CO2eq.</x:v>
      </x:c>
      <x:c r="I68" s="140"/>
      <x:c r="J68" s="140"/>
      <x:c r="K68" s="140"/>
      <x:c r="L68" s="140"/>
      <x:c r="M68" s="140"/>
    </x:row>
    <x:row r="69">
      <x:c r="A69" s="140" t="str">
        <x:v>IRP_total</x:v>
      </x:c>
      <x:c r="B69" s="140" t="str">
        <x:v>PET+PP+PE</x:v>
      </x:c>
      <x:c r="C69" s="140" t="n">
        <x:v>2016</x:v>
      </x:c>
      <x:c r="D69" s="210" t="n">
        <x:v>0.108447</x:v>
      </x:c>
      <x:c r="E69" s="210" t="n">
        <x:f>Indicadores_validados!D13</x:f>
        <x:v>0.10844732700000001</x:v>
      </x:c>
      <x:c r="F69" s="210" t="n">
        <x:f t="shared" si="5">E69-D69</x:f>
        <x:v>3.270000000082929e-7</x:v>
      </x:c>
      <x:c r="G69" s="210" t="str">
        <x:f t="shared" si="6">IF(ABS(F69)&lt;=6e-7,"OK","REVISAR")</x:f>
        <x:v>OK</x:v>
      </x:c>
      <x:c r="H69" s="211" t="str">
        <x:v>Total de PET, PP y PE; el manuscrito muestra Mt CO2eq.</x:v>
      </x:c>
      <x:c r="I69" s="140"/>
      <x:c r="J69" s="140"/>
      <x:c r="K69" s="140"/>
      <x:c r="L69" s="140"/>
      <x:c r="M69" s="140"/>
    </x:row>
    <x:row r="70">
      <x:c r="A70" s="140" t="str">
        <x:v>IRP_total</x:v>
      </x:c>
      <x:c r="B70" s="140" t="str">
        <x:v>PET+PP+PE</x:v>
      </x:c>
      <x:c r="C70" s="140" t="n">
        <x:v>2017</x:v>
      </x:c>
      <x:c r="D70" s="210" t="n">
        <x:v>0.111689</x:v>
      </x:c>
      <x:c r="E70" s="210" t="n">
        <x:f>Indicadores_validados!E13</x:f>
        <x:v>0.11168895000000001</x:v>
      </x:c>
      <x:c r="F70" s="210" t="n">
        <x:f t="shared" si="5">E70-D70</x:f>
        <x:v>-4.9999999987559995e-8</x:v>
      </x:c>
      <x:c r="G70" s="210" t="str">
        <x:f t="shared" si="6">IF(ABS(F70)&lt;=6e-7,"OK","REVISAR")</x:f>
        <x:v>OK</x:v>
      </x:c>
      <x:c r="H70" s="211" t="str">
        <x:v>Total de PET, PP y PE; el manuscrito muestra Mt CO2eq.</x:v>
      </x:c>
      <x:c r="I70" s="140"/>
      <x:c r="J70" s="140"/>
      <x:c r="K70" s="140"/>
      <x:c r="L70" s="140"/>
      <x:c r="M70" s="140"/>
    </x:row>
    <x:row r="71">
      <x:c r="A71" s="140" t="str">
        <x:v>IRP_total</x:v>
      </x:c>
      <x:c r="B71" s="140" t="str">
        <x:v>PET+PP+PE</x:v>
      </x:c>
      <x:c r="C71" s="140" t="n">
        <x:v>2018</x:v>
      </x:c>
      <x:c r="D71" s="210" t="n">
        <x:v>0.101713</x:v>
      </x:c>
      <x:c r="E71" s="210" t="n">
        <x:f>Indicadores_validados!F13</x:f>
        <x:v>0.10171276900000001</x:v>
      </x:c>
      <x:c r="F71" s="210" t="n">
        <x:f t="shared" si="5">E71-D71</x:f>
        <x:v>-2.309999999894341e-7</x:v>
      </x:c>
      <x:c r="G71" s="210" t="str">
        <x:f t="shared" si="6">IF(ABS(F71)&lt;=6e-7,"OK","REVISAR")</x:f>
        <x:v>OK</x:v>
      </x:c>
      <x:c r="H71" s="211" t="str">
        <x:v>Total de PET, PP y PE; el manuscrito muestra Mt CO2eq.</x:v>
      </x:c>
      <x:c r="I71" s="140"/>
      <x:c r="J71" s="140"/>
      <x:c r="K71" s="140"/>
      <x:c r="L71" s="140"/>
      <x:c r="M71" s="140"/>
    </x:row>
    <x:row r="72">
      <x:c r="A72" s="140" t="str">
        <x:v>IRP_total</x:v>
      </x:c>
      <x:c r="B72" s="140" t="str">
        <x:v>PET+PP+PE</x:v>
      </x:c>
      <x:c r="C72" s="140" t="n">
        <x:v>2019</x:v>
      </x:c>
      <x:c r="D72" s="210" t="n">
        <x:v>0.104684</x:v>
      </x:c>
      <x:c r="E72" s="210" t="n">
        <x:f>Indicadores_validados!G13</x:f>
        <x:v>0.104684427</x:v>
      </x:c>
      <x:c r="F72" s="210" t="n">
        <x:f t="shared" si="5">E72-D72</x:f>
        <x:v>4.2699999999729066e-7</x:v>
      </x:c>
      <x:c r="G72" s="210" t="str">
        <x:f t="shared" si="6">IF(ABS(F72)&lt;=6e-7,"OK","REVISAR")</x:f>
        <x:v>OK</x:v>
      </x:c>
      <x:c r="H72" s="211" t="str">
        <x:v>Total de PET, PP y PE; el manuscrito muestra Mt CO2eq.</x:v>
      </x:c>
      <x:c r="I72" s="140"/>
      <x:c r="J72" s="140"/>
      <x:c r="K72" s="140"/>
      <x:c r="L72" s="140"/>
      <x:c r="M72" s="140"/>
    </x:row>
    <x:row r="73">
      <x:c r="A73" s="140" t="str">
        <x:v>IRP_total</x:v>
      </x:c>
      <x:c r="B73" s="140" t="str">
        <x:v>PET+PP+PE</x:v>
      </x:c>
      <x:c r="C73" s="140" t="n">
        <x:v>2020</x:v>
      </x:c>
      <x:c r="D73" s="210" t="n">
        <x:v>0.136683</x:v>
      </x:c>
      <x:c r="E73" s="210" t="n">
        <x:f>Indicadores_validados!H13</x:f>
        <x:v>0.136682711</x:v>
      </x:c>
      <x:c r="F73" s="210" t="n">
        <x:f t="shared" si="5">E73-D73</x:f>
        <x:v>-2.8899999998666104e-7</x:v>
      </x:c>
      <x:c r="G73" s="210" t="str">
        <x:f t="shared" si="6">IF(ABS(F73)&lt;=6e-7,"OK","REVISAR")</x:f>
        <x:v>OK</x:v>
      </x:c>
      <x:c r="H73" s="211" t="str">
        <x:v>Total de PET, PP y PE; el manuscrito muestra Mt CO2eq.</x:v>
      </x:c>
      <x:c r="I73" s="140"/>
      <x:c r="J73" s="140"/>
      <x:c r="K73" s="140"/>
      <x:c r="L73" s="140"/>
      <x:c r="M73" s="140"/>
    </x:row>
    <x:row r="74">
      <x:c r="A74" s="140" t="str">
        <x:v>IRP_total</x:v>
      </x:c>
      <x:c r="B74" s="140" t="str">
        <x:v>PET+PP+PE</x:v>
      </x:c>
      <x:c r="C74" s="140" t="n">
        <x:v>2021</x:v>
      </x:c>
      <x:c r="D74" s="210" t="n">
        <x:v>0.16432</x:v>
      </x:c>
      <x:c r="E74" s="210" t="n">
        <x:f>Indicadores_validados!I13</x:f>
        <x:v>0.16432049199999998</x:v>
      </x:c>
      <x:c r="F74" s="210" t="n">
        <x:f t="shared" si="5">E74-D74</x:f>
        <x:v>4.919999999908331e-7</x:v>
      </x:c>
      <x:c r="G74" s="210" t="str">
        <x:f t="shared" si="6">IF(ABS(F74)&lt;=6e-7,"OK","REVISAR")</x:f>
        <x:v>OK</x:v>
      </x:c>
      <x:c r="H74" s="211" t="str">
        <x:v>Total de PET, PP y PE; el manuscrito muestra Mt CO2eq.</x:v>
      </x:c>
      <x:c r="I74" s="140"/>
      <x:c r="J74" s="140"/>
      <x:c r="K74" s="140"/>
      <x:c r="L74" s="140"/>
      <x:c r="M74" s="140"/>
    </x:row>
    <x:row r="75">
      <x:c r="A75" s="140" t="str">
        <x:v>IRP_total</x:v>
      </x:c>
      <x:c r="B75" s="140" t="str">
        <x:v>PET+PP+PE</x:v>
      </x:c>
      <x:c r="C75" s="140" t="n">
        <x:v>2022</x:v>
      </x:c>
      <x:c r="D75" s="210" t="n">
        <x:v>0.154775</x:v>
      </x:c>
      <x:c r="E75" s="210" t="n">
        <x:f>Indicadores_validados!J13</x:f>
        <x:v>0.154774915</x:v>
      </x:c>
      <x:c r="F75" s="210" t="n">
        <x:f t="shared" si="5">E75-D75</x:f>
        <x:v>-8.499999998301533e-8</x:v>
      </x:c>
      <x:c r="G75" s="210" t="str">
        <x:f t="shared" si="6">IF(ABS(F75)&lt;=6e-7,"OK","REVISAR")</x:f>
        <x:v>OK</x:v>
      </x:c>
      <x:c r="H75" s="211" t="str">
        <x:v>Total de PET, PP y PE; el manuscrito muestra Mt CO2eq.</x:v>
      </x:c>
      <x:c r="I75" s="140"/>
      <x:c r="J75" s="140"/>
      <x:c r="K75" s="140"/>
      <x:c r="L75" s="140"/>
      <x:c r="M75" s="140"/>
    </x:row>
    <x:row r="76">
      <x:c r="A76" s="140" t="str">
        <x:v>IRP_total</x:v>
      </x:c>
      <x:c r="B76" s="140" t="str">
        <x:v>PET+PP+PE</x:v>
      </x:c>
      <x:c r="C76" s="140" t="n">
        <x:v>2023</x:v>
      </x:c>
      <x:c r="D76" s="210" t="n">
        <x:v>0.172536</x:v>
      </x:c>
      <x:c r="E76" s="210" t="n">
        <x:f>Indicadores_validados!K13</x:f>
        <x:v>0.172535921</x:v>
      </x:c>
      <x:c r="F76" s="210" t="n">
        <x:f t="shared" si="5">E76-D76</x:f>
        <x:v>-7.899999998617346e-8</x:v>
      </x:c>
      <x:c r="G76" s="210" t="str">
        <x:f t="shared" si="6">IF(ABS(F76)&lt;=6e-7,"OK","REVISAR")</x:f>
        <x:v>OK</x:v>
      </x:c>
      <x:c r="H76" s="211" t="str">
        <x:v>Total de PET, PP y PE; el manuscrito muestra Mt CO2eq.</x:v>
      </x:c>
      <x:c r="I76" s="140"/>
      <x:c r="J76" s="140"/>
      <x:c r="K76" s="140"/>
      <x:c r="L76" s="140"/>
      <x:c r="M76" s="140"/>
    </x:row>
    <x:row r="77">
      <x:c r="A77" s="140" t="str">
        <x:v>IRP_total</x:v>
      </x:c>
      <x:c r="B77" s="140" t="str">
        <x:v>PET+PP+PE</x:v>
      </x:c>
      <x:c r="C77" s="140" t="n">
        <x:v>2024</x:v>
      </x:c>
      <x:c r="D77" s="210" t="n">
        <x:v>0.174775</x:v>
      </x:c>
      <x:c r="E77" s="210" t="n">
        <x:f>Indicadores_validados!L13</x:f>
        <x:v>0.174775335</x:v>
      </x:c>
      <x:c r="F77" s="210" t="n">
        <x:f t="shared" si="5">E77-D77</x:f>
        <x:v>3.3499999999020424e-7</x:v>
      </x:c>
      <x:c r="G77" s="210" t="str">
        <x:f t="shared" si="6">IF(ABS(F77)&lt;=6e-7,"OK","REVISAR")</x:f>
        <x:v>OK</x:v>
      </x:c>
      <x:c r="H77" s="211" t="str">
        <x:v>Total de PET, PP y PE; el manuscrito muestra Mt CO2eq.</x:v>
      </x:c>
      <x:c r="I77" s="140"/>
      <x:c r="J77" s="140"/>
      <x:c r="K77" s="140"/>
      <x:c r="L77" s="140"/>
      <x:c r="M77" s="140"/>
    </x:row>
    <x:row r="78">
      <x:c r="A78" s="140" t="str">
        <x:v>IRP_total</x:v>
      </x:c>
      <x:c r="B78" s="140" t="str">
        <x:v>PET+PP+PE</x:v>
      </x:c>
      <x:c r="C78" s="140" t="n">
        <x:v>2025</x:v>
      </x:c>
      <x:c r="D78" s="210" t="n">
        <x:v>0.174775</x:v>
      </x:c>
      <x:c r="E78" s="210" t="n">
        <x:f>Indicadores_validados!M13</x:f>
        <x:v>0.174775335</x:v>
      </x:c>
      <x:c r="F78" s="210" t="n">
        <x:f t="shared" si="5">E78-D78</x:f>
        <x:v>3.3499999999020424e-7</x:v>
      </x:c>
      <x:c r="G78" s="210" t="str">
        <x:f t="shared" si="6">IF(ABS(F78)&lt;=6e-7,"OK","REVISAR")</x:f>
        <x:v>OK</x:v>
      </x:c>
      <x:c r="H78" s="211" t="str">
        <x:v>Total de PET, PP y PE; el manuscrito muestra Mt CO2eq.</x:v>
      </x:c>
      <x:c r="I78" s="140"/>
      <x:c r="J78" s="140"/>
      <x:c r="K78" s="140"/>
      <x:c r="L78" s="140"/>
      <x:c r="M78" s="140"/>
    </x:row>
    <x:row r="79">
      <x:c r="A79" s="140" t="str">
        <x:v>IC_REP_est</x:v>
      </x:c>
      <x:c r="B79" s="140" t="str">
        <x:v>Envases</x:v>
      </x:c>
      <x:c r="C79" s="140" t="n">
        <x:v>2023</x:v>
      </x:c>
      <x:c r="D79" s="208" t="n">
        <x:v>0.847</x:v>
      </x:c>
      <x:c r="E79" s="208" t="n">
        <x:f>Indicadores_validados!K5</x:f>
        <x:v>0.8474990827932005</x:v>
      </x:c>
      <x:c r="F79" s="208" t="n">
        <x:f t="shared" si="5">E79-D79</x:f>
        <x:v>0.0004990827932005448</x:v>
      </x:c>
      <x:c r="G79" s="208" t="str">
        <x:f t="shared" si="6">IF(ABS(F79)&lt;=0.0006,"OK","REVISAR")</x:f>
        <x:v>OK</x:v>
      </x:c>
      <x:c r="H79" s="211" t="str">
        <x:v>Indicador estimado de avance respecto de la meta; no determina cumplimiento oficial.</x:v>
      </x:c>
      <x:c r="I79" s="140"/>
      <x:c r="J79" s="140"/>
      <x:c r="K79" s="140"/>
      <x:c r="L79" s="140"/>
      <x:c r="M79" s="140"/>
    </x:row>
    <x:row r="80">
      <x:c r="A80" s="140" t="str">
        <x:v>IC_REP_est</x:v>
      </x:c>
      <x:c r="B80" s="140" t="str">
        <x:v>Envases</x:v>
      </x:c>
      <x:c r="C80" s="140" t="n">
        <x:v>2024</x:v>
      </x:c>
      <x:c r="D80" s="208" t="n">
        <x:v>0.82</x:v>
      </x:c>
      <x:c r="E80" s="208" t="n">
        <x:f>Indicadores_validados!L5</x:f>
        <x:v>0.819658772599949</x:v>
      </x:c>
      <x:c r="F80" s="208" t="n">
        <x:f t="shared" si="5">E80-D80</x:f>
        <x:v>-0.0003412274000509363</x:v>
      </x:c>
      <x:c r="G80" s="208" t="str">
        <x:f t="shared" si="6">IF(ABS(F80)&lt;=0.0006,"OK","REVISAR")</x:f>
        <x:v>OK</x:v>
      </x:c>
      <x:c r="H80" s="211" t="str">
        <x:v>Indicador estimado de avance respecto de la meta; no determina cumplimiento oficial.</x:v>
      </x:c>
      <x:c r="I80" s="140"/>
      <x:c r="J80" s="140"/>
      <x:c r="K80" s="140"/>
      <x:c r="L80" s="140"/>
      <x:c r="M80" s="140"/>
    </x:row>
    <x:row r="81">
      <x:c r="A81" s="140" t="str">
        <x:v>IC_REP_est</x:v>
      </x:c>
      <x:c r="B81" s="140" t="str">
        <x:v>Envases</x:v>
      </x:c>
      <x:c r="C81" s="140" t="n">
        <x:v>2025</x:v>
      </x:c>
      <x:c r="D81" s="208" t="n">
        <x:v>0.688</x:v>
      </x:c>
      <x:c r="E81" s="208" t="n">
        <x:f>Indicadores_validados!M5</x:f>
        <x:v>0.6882802173593773</x:v>
      </x:c>
      <x:c r="F81" s="208" t="n">
        <x:f t="shared" si="5">E81-D81</x:f>
        <x:v>0.0002802173593773327</x:v>
      </x:c>
      <x:c r="G81" s="208" t="str">
        <x:f t="shared" si="6">IF(ABS(F81)&lt;=0.0006,"OK","REVISAR")</x:f>
        <x:v>OK</x:v>
      </x:c>
      <x:c r="H81" s="211" t="str">
        <x:v>Indicador estimado de avance respecto de la meta; no determina cumplimiento oficial.</x:v>
      </x:c>
      <x:c r="I81" s="140"/>
      <x:c r="J81" s="140"/>
      <x:c r="K81" s="140"/>
      <x:c r="L81" s="140"/>
      <x:c r="M81" s="140"/>
    </x:row>
    <x:row r="82">
      <x:c r="A82" s="140"/>
      <x:c r="B82" s="140"/>
      <x:c r="C82" s="140"/>
      <x:c r="D82" s="142"/>
      <x:c r="E82" s="142"/>
      <x:c r="F82" s="142">
        <x:f t="shared" si="5"/>
      </x:c>
      <x:c r="G82" s="140">
        <x:f t="shared" si="6"/>
      </x:c>
      <x:c r="H82" s="140"/>
      <x:c r="I82" s="140"/>
      <x:c r="J82" s="140"/>
      <x:c r="K82" s="140"/>
      <x:c r="L82" s="140"/>
      <x:c r="M82" s="140"/>
    </x:row>
    <x:row r="83">
      <x:c r="A83" s="140"/>
      <x:c r="B83" s="140"/>
      <x:c r="C83" s="140"/>
      <x:c r="D83" s="142"/>
      <x:c r="E83" s="142"/>
      <x:c r="F83" s="142">
        <x:f t="shared" si="5"/>
      </x:c>
      <x:c r="G83" s="140">
        <x:f t="shared" si="6"/>
      </x:c>
      <x:c r="H83" s="140"/>
      <x:c r="I83" s="140"/>
      <x:c r="J83" s="140"/>
      <x:c r="K83" s="140"/>
      <x:c r="L83" s="140"/>
      <x:c r="M83" s="140"/>
    </x:row>
    <x:row r="84">
      <x:c r="A84" s="140"/>
      <x:c r="B84" s="140"/>
      <x:c r="C84" s="140"/>
      <x:c r="D84" s="142"/>
      <x:c r="E84" s="142"/>
      <x:c r="F84" s="142">
        <x:f t="shared" si="5"/>
      </x:c>
      <x:c r="G84" s="140">
        <x:f t="shared" si="6"/>
      </x:c>
      <x:c r="H84" s="140"/>
      <x:c r="I84" s="140"/>
      <x:c r="J84" s="140"/>
      <x:c r="K84" s="140"/>
      <x:c r="L84" s="140"/>
      <x:c r="M84" s="140"/>
    </x:row>
    <x:row r="85">
      <x:c r="A85" s="140"/>
      <x:c r="B85" s="140"/>
      <x:c r="C85" s="140"/>
      <x:c r="D85" s="142"/>
      <x:c r="E85" s="142"/>
      <x:c r="F85" s="142">
        <x:f t="shared" si="5"/>
      </x:c>
      <x:c r="G85" s="140">
        <x:f t="shared" si="6"/>
      </x:c>
      <x:c r="H85" s="140"/>
      <x:c r="I85" s="140"/>
      <x:c r="J85" s="140"/>
      <x:c r="K85" s="140"/>
      <x:c r="L85" s="140"/>
      <x:c r="M85" s="140"/>
    </x:row>
    <x:row r="86">
      <x:c r="A86" s="140"/>
      <x:c r="B86" s="140"/>
      <x:c r="C86" s="140"/>
      <x:c r="D86" s="142"/>
      <x:c r="E86" s="142"/>
      <x:c r="F86" s="142">
        <x:f t="shared" si="5"/>
      </x:c>
      <x:c r="G86" s="140">
        <x:f t="shared" si="6"/>
      </x:c>
      <x:c r="H86" s="140"/>
      <x:c r="I86" s="140"/>
      <x:c r="J86" s="140"/>
      <x:c r="K86" s="140"/>
      <x:c r="L86" s="140"/>
      <x:c r="M86" s="140"/>
    </x:row>
    <x:row r="87">
      <x:c r="A87" s="140"/>
      <x:c r="B87" s="140"/>
      <x:c r="C87" s="140"/>
      <x:c r="D87" s="142"/>
      <x:c r="E87" s="142"/>
      <x:c r="F87" s="142">
        <x:f t="shared" si="5"/>
      </x:c>
      <x:c r="G87" s="140">
        <x:f t="shared" si="6"/>
      </x:c>
      <x:c r="H87" s="140"/>
      <x:c r="I87" s="140"/>
      <x:c r="J87" s="140"/>
      <x:c r="K87" s="140"/>
      <x:c r="L87" s="140"/>
      <x:c r="M87" s="140"/>
    </x:row>
    <x:row r="88">
      <x:c r="A88" s="140"/>
      <x:c r="B88" s="140"/>
      <x:c r="C88" s="140"/>
      <x:c r="D88" s="142"/>
      <x:c r="E88" s="142"/>
      <x:c r="F88" s="142">
        <x:f t="shared" si="5"/>
      </x:c>
      <x:c r="G88" s="140">
        <x:f t="shared" si="6"/>
      </x:c>
      <x:c r="H88" s="140"/>
      <x:c r="I88" s="140"/>
      <x:c r="J88" s="140"/>
      <x:c r="K88" s="140"/>
      <x:c r="L88" s="140"/>
      <x:c r="M88" s="140"/>
    </x:row>
    <x:row r="89">
      <x:c r="A89" s="140"/>
      <x:c r="B89" s="140"/>
      <x:c r="C89" s="140"/>
      <x:c r="D89" s="142"/>
      <x:c r="E89" s="142"/>
      <x:c r="F89" s="142">
        <x:f t="shared" si="5"/>
      </x:c>
      <x:c r="G89" s="140">
        <x:f t="shared" si="6"/>
      </x:c>
      <x:c r="H89" s="140"/>
      <x:c r="I89" s="140"/>
      <x:c r="J89" s="140"/>
      <x:c r="K89" s="140"/>
      <x:c r="L89" s="140"/>
      <x:c r="M89" s="140"/>
    </x:row>
    <x:row r="90">
      <x:c r="A90" s="140"/>
      <x:c r="B90" s="140"/>
      <x:c r="C90" s="140"/>
      <x:c r="D90" s="142"/>
      <x:c r="E90" s="142"/>
      <x:c r="F90" s="142">
        <x:f t="shared" si="5"/>
      </x:c>
      <x:c r="G90" s="140">
        <x:f t="shared" si="6"/>
      </x:c>
      <x:c r="H90" s="140"/>
      <x:c r="I90" s="140"/>
      <x:c r="J90" s="140"/>
      <x:c r="K90" s="140"/>
      <x:c r="L90" s="140"/>
      <x:c r="M90" s="140"/>
    </x:row>
    <x:row r="91">
      <x:c r="A91" s="140"/>
      <x:c r="B91" s="140"/>
      <x:c r="C91" s="140"/>
      <x:c r="D91" s="142"/>
      <x:c r="E91" s="142"/>
      <x:c r="F91" s="142">
        <x:f t="shared" si="5"/>
      </x:c>
      <x:c r="G91" s="140">
        <x:f t="shared" si="6"/>
      </x:c>
      <x:c r="H91" s="140"/>
      <x:c r="I91" s="140"/>
      <x:c r="J91" s="140"/>
      <x:c r="K91" s="140"/>
      <x:c r="L91" s="140"/>
      <x:c r="M91" s="140"/>
    </x:row>
    <x:row r="92">
      <x:c r="A92" s="140"/>
      <x:c r="B92" s="140"/>
      <x:c r="C92" s="140"/>
      <x:c r="D92" s="142"/>
      <x:c r="E92" s="142"/>
      <x:c r="F92" s="142">
        <x:f t="shared" si="5"/>
      </x:c>
      <x:c r="G92" s="140">
        <x:f t="shared" si="6"/>
      </x:c>
      <x:c r="H92" s="140"/>
      <x:c r="I92" s="140"/>
      <x:c r="J92" s="140"/>
      <x:c r="K92" s="140"/>
      <x:c r="L92" s="140"/>
      <x:c r="M92" s="140"/>
    </x:row>
    <x:row r="93">
      <x:c r="A93" s="140"/>
      <x:c r="B93" s="140"/>
      <x:c r="C93" s="140"/>
      <x:c r="D93" s="142"/>
      <x:c r="E93" s="142"/>
      <x:c r="F93" s="142">
        <x:f t="shared" si="5"/>
      </x:c>
      <x:c r="G93" s="140">
        <x:f t="shared" si="6"/>
      </x:c>
      <x:c r="H93" s="140"/>
      <x:c r="I93" s="140"/>
      <x:c r="J93" s="140"/>
      <x:c r="K93" s="140"/>
      <x:c r="L93" s="140"/>
      <x:c r="M93" s="140"/>
    </x:row>
    <x:row r="94">
      <x:c r="A94" s="140"/>
      <x:c r="B94" s="140"/>
      <x:c r="C94" s="140"/>
      <x:c r="D94" s="142"/>
      <x:c r="E94" s="142"/>
      <x:c r="F94" s="142">
        <x:f t="shared" si="5"/>
      </x:c>
      <x:c r="G94" s="140">
        <x:f t="shared" si="6"/>
      </x:c>
      <x:c r="H94" s="140"/>
      <x:c r="I94" s="140"/>
      <x:c r="J94" s="140"/>
      <x:c r="K94" s="140"/>
      <x:c r="L94" s="140"/>
      <x:c r="M94" s="140"/>
    </x:row>
    <x:row r="95">
      <x:c r="A95" s="140"/>
      <x:c r="B95" s="140"/>
      <x:c r="C95" s="140"/>
      <x:c r="D95" s="142"/>
      <x:c r="E95" s="142"/>
      <x:c r="F95" s="142">
        <x:f t="shared" si="5"/>
      </x:c>
      <x:c r="G95" s="140">
        <x:f t="shared" si="6"/>
      </x:c>
      <x:c r="H95" s="140"/>
      <x:c r="I95" s="140"/>
      <x:c r="J95" s="140"/>
      <x:c r="K95" s="140"/>
      <x:c r="L95" s="140"/>
      <x:c r="M95" s="140"/>
    </x:row>
    <x:row r="96">
      <x:c r="A96" s="140"/>
      <x:c r="B96" s="140"/>
      <x:c r="C96" s="140"/>
      <x:c r="D96" s="142"/>
      <x:c r="E96" s="142"/>
      <x:c r="F96" s="142">
        <x:f t="shared" si="5"/>
      </x:c>
      <x:c r="G96" s="140">
        <x:f t="shared" si="6"/>
      </x:c>
      <x:c r="H96" s="140"/>
      <x:c r="I96" s="140"/>
      <x:c r="J96" s="140"/>
      <x:c r="K96" s="140"/>
      <x:c r="L96" s="140"/>
      <x:c r="M96" s="140"/>
    </x:row>
    <x:row r="97">
      <x:c r="A97" s="140"/>
      <x:c r="B97" s="140"/>
      <x:c r="C97" s="140"/>
      <x:c r="D97" s="142"/>
      <x:c r="E97" s="142"/>
      <x:c r="F97" s="142">
        <x:f t="shared" si="5"/>
      </x:c>
      <x:c r="G97" s="140">
        <x:f t="shared" si="6"/>
      </x:c>
      <x:c r="H97" s="140"/>
      <x:c r="I97" s="140"/>
      <x:c r="J97" s="140"/>
      <x:c r="K97" s="140"/>
      <x:c r="L97" s="140"/>
      <x:c r="M97" s="140"/>
    </x:row>
    <x:row r="98">
      <x:c r="A98" s="140"/>
      <x:c r="B98" s="140"/>
      <x:c r="C98" s="140"/>
      <x:c r="D98" s="142"/>
      <x:c r="E98" s="142"/>
      <x:c r="F98" s="142">
        <x:f t="shared" ref="F98:F103" si="7">E98-D98</x:f>
      </x:c>
      <x:c r="G98" s="140">
        <x:f t="shared" si="6"/>
      </x:c>
      <x:c r="H98" s="140"/>
      <x:c r="I98" s="140"/>
      <x:c r="J98" s="140"/>
      <x:c r="K98" s="140"/>
      <x:c r="L98" s="140"/>
      <x:c r="M98" s="140"/>
    </x:row>
    <x:row r="99">
      <x:c r="A99" s="140"/>
      <x:c r="B99" s="140"/>
      <x:c r="C99" s="140"/>
      <x:c r="D99" s="142"/>
      <x:c r="E99" s="142"/>
      <x:c r="F99" s="142">
        <x:f t="shared" si="7"/>
      </x:c>
      <x:c r="G99" s="140">
        <x:f t="shared" ref="G99:G103" si="8">IF(ABS(F99)&lt;=0.0006,"OK","REVISAR")</x:f>
      </x:c>
      <x:c r="H99" s="140"/>
      <x:c r="I99" s="140"/>
      <x:c r="J99" s="140"/>
      <x:c r="K99" s="140"/>
      <x:c r="L99" s="140"/>
      <x:c r="M99" s="140"/>
    </x:row>
    <x:row r="100">
      <x:c r="A100" s="140"/>
      <x:c r="B100" s="140"/>
      <x:c r="C100" s="140"/>
      <x:c r="D100" s="142"/>
      <x:c r="E100" s="142"/>
      <x:c r="F100" s="142">
        <x:f t="shared" si="7"/>
      </x:c>
      <x:c r="G100" s="140">
        <x:f t="shared" si="8"/>
      </x:c>
      <x:c r="H100" s="140"/>
      <x:c r="I100" s="140"/>
      <x:c r="J100" s="140"/>
      <x:c r="K100" s="140"/>
      <x:c r="L100" s="140"/>
      <x:c r="M100" s="140"/>
    </x:row>
    <x:row r="101" ht="28.799999237060547">
      <x:c r="A101" s="140"/>
      <x:c r="B101" s="140"/>
      <x:c r="C101" s="140"/>
      <x:c r="D101" s="142"/>
      <x:c r="E101" s="142"/>
      <x:c r="F101" s="142">
        <x:f t="shared" si="7"/>
      </x:c>
      <x:c r="G101" s="140">
        <x:f t="shared" si="8"/>
      </x:c>
      <x:c r="H101" s="140"/>
      <x:c r="I101" s="140"/>
      <x:c r="J101" s="140"/>
      <x:c r="K101" s="140"/>
      <x:c r="L101" s="140"/>
      <x:c r="M101" s="140"/>
    </x:row>
    <x:row r="102" ht="28.799999237060547">
      <x:c r="A102" s="140"/>
      <x:c r="B102" s="140"/>
      <x:c r="C102" s="140"/>
      <x:c r="D102" s="142"/>
      <x:c r="E102" s="142"/>
      <x:c r="F102" s="142">
        <x:f t="shared" si="7"/>
      </x:c>
      <x:c r="G102" s="140">
        <x:f t="shared" si="8"/>
      </x:c>
      <x:c r="H102" s="140"/>
      <x:c r="I102" s="140"/>
      <x:c r="J102" s="140"/>
      <x:c r="K102" s="140"/>
      <x:c r="L102" s="140"/>
      <x:c r="M102" s="140"/>
    </x:row>
    <x:row r="103" ht="28.799999237060547">
      <x:c r="A103" s="140"/>
      <x:c r="B103" s="140"/>
      <x:c r="C103" s="140"/>
      <x:c r="D103" s="142"/>
      <x:c r="E103" s="142"/>
      <x:c r="F103" s="142">
        <x:f t="shared" si="7"/>
      </x:c>
      <x:c r="G103" s="140">
        <x:f t="shared" si="8"/>
      </x:c>
      <x:c r="H103" s="140"/>
      <x:c r="I103" s="140"/>
      <x:c r="J103" s="140"/>
      <x:c r="K103" s="140"/>
      <x:c r="L103" s="140"/>
      <x:c r="M103" s="14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ColWidth="8.77734375" defaultRowHeight="14.399999618530273"/>
  <x:cols>
    <x:col min="1" max="2" width="22" customWidth="1"/>
    <x:col min="3" max="3" width="90" customWidth="1"/>
  </x:cols>
  <x:sheetData>
    <x:row r="1">
      <x:c r="A1" s="141" t="s">
        <x:v>221</x:v>
      </x:c>
      <x:c r="B1" s="141" t="s">
        <x:v>222</x:v>
      </x:c>
      <x:c r="C1" s="141" t="s">
        <x:v>223</x:v>
      </x:c>
    </x:row>
    <x:row r="2" ht="28.799999237060547">
      <x:c r="A2" s="211" t="str">
        <x:v>TR</x:v>
      </x:c>
      <x:c r="B2" s="211" t="str">
        <x:v>Corregido</x:v>
      </x:c>
      <x:c r="C2" s="211" t="str">
        <x:v>Se mantienen TR_total y TR_packaging con numeradores y denominadores separados y explícitos.</x:v>
      </x:c>
    </x:row>
    <x:row r="3" ht="28.799999237060547">
      <x:c r="A3" s="211" t="str">
        <x:v>Tgr</x:v>
      </x:c>
      <x:c r="B3" s="211" t="str">
        <x:v>Corregido</x:v>
      </x:c>
      <x:c r="C3" s="211" t="str">
        <x:v>Se calcula como 1000 x entrada estimada de envases / población y se reporta en kg/hab/año.</x:v>
      </x:c>
    </x:row>
    <x:row r="4" ht="28.799999237060547">
      <x:c r="A4" s="211" t="str">
        <x:v>IC_REP_est</x:v>
      </x:c>
      <x:c r="B4" s="211" t="str">
        <x:v>Reformulado</x:v>
      </x:c>
      <x:c r="C4" s="211" t="str">
        <x:v>Indicador estimado de avance respecto de la meta, disponible desde 2023 por el inicio de la implementación operativa de las metas para envases. No equivale a cumplimiento oficial.</x:v>
      </x:c>
    </x:row>
    <x:row r="5" ht="28.799999237060547">
      <x:c r="A5" s="211" t="str">
        <x:v>MCI</x:v>
      </x:c>
      <x:c r="B5" s="211" t="str">
        <x:v>No calculado</x:v>
      </x:c>
      <x:c r="C5" s="211" t="str">
        <x:v>Se retiró la serie numérica. Faltan W, Wf, Wc y F(X) con una frontera nacional compatible; asignar cero a esos términos no es defendible.</x:v>
      </x:c>
    </x:row>
    <x:row r="6">
      <x:c r="A6" s="211" t="str">
        <x:v>eC</x:v>
      </x:c>
      <x:c r="B6" s="211" t="str">
        <x:v>Corregido</x:v>
      </x:c>
      <x:c r="C6" s="211" t="str">
        <x:v>Se calcula como Qrec/Qvir por resina. Qrec corresponde a MGP de ANIR y Qvir a materia prima virgen por resina.</x:v>
      </x:c>
    </x:row>
    <x:row r="7" ht="28.799999237060547">
      <x:c r="A7" s="211" t="str">
        <x:v>IRP</x:v>
      </x:c>
      <x:c r="B7" s="211" t="str">
        <x:v>Corregido</x:v>
      </x:c>
      <x:c r="C7" s="211" t="str">
        <x:v>Se calcula para PET, PP y PE como (EF virgen - EF reciclado) x Qrec / 1.000.000.000, en Mt CO2eq.</x:v>
      </x:c>
    </x:row>
    <x:row r="8" ht="43.20000076293945">
      <x:c r="A8" s="211" t="str">
        <x:v>Alcance por resina</x:v>
      </x:c>
      <x:c r="B8" s="211" t="str">
        <x:v>Depurado</x:v>
      </x:c>
      <x:c r="C8" s="211" t="str">
        <x:v>Los indicadores eC e IRP se limitan a PET, PP y PE, las categorías con cobertura consistente en todos los insumos requeridos.</x:v>
      </x:c>
    </x:row>
    <x:row r="9">
      <x:c r="A9" s="212" t="str">
        <x:v>Horizonte temporal</x:v>
      </x:c>
      <x:c r="B9" s="212" t="str">
        <x:v>Aclarado</x:v>
      </x:c>
      <x:c r="C9" s="212" t="str">
        <x:v>2024 es el año de referencia por su mayor completitud; 2025 es una extensión provisional con valores observados y estimados claramente identificados.</x:v>
      </x:c>
    </x:row>
    <x:row r="10">
      <x:c r="A10" s="212" t="str">
        <x:v>Trazabilidad</x:v>
      </x:c>
      <x:c r="B10" s="212" t="str">
        <x:v>Actualizada</x:v>
      </x:c>
      <x:c r="C10" s="212" t="str">
        <x:v>Las tablas extensas de procedencia e importaciones recicladas se reportan en el material suplementario; el manuscrito conserva las definiciones y referencias esenciales.</x:v>
      </x:c>
    </x:row>
  </x:sheetData>
  <x:pageMargins left="0.7" right="0.7" top="0.75" bottom="0.75" header="0.3" footer="0.3"/>
</x:worksheet>
</file>