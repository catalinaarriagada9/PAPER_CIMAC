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tal\Downloads\"/>
    </mc:Choice>
  </mc:AlternateContent>
  <xr:revisionPtr revIDLastSave="0" documentId="13_ncr:1_{D5086919-02AE-42AB-9A51-82776FE05E81}" xr6:coauthVersionLast="47" xr6:coauthVersionMax="47" xr10:uidLastSave="{00000000-0000-0000-0000-000000000000}"/>
  <bookViews>
    <workbookView xWindow="-108" yWindow="-108" windowWidth="23256" windowHeight="12456" xr2:uid="{E99CC3A7-A37C-437C-8F22-7DFF23853264}"/>
  </bookViews>
  <sheets>
    <sheet name="Datos" sheetId="4" r:id="rId1"/>
    <sheet name="Resinas" sheetId="5" r:id="rId2"/>
    <sheet name="Emisiones" sheetId="3" r:id="rId3"/>
    <sheet name="Metas_REP" sheetId="2" r:id="rId4"/>
    <sheet name="Desarrollo de indicadore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6" l="1"/>
  <c r="F2" i="6"/>
  <c r="G2" i="6"/>
  <c r="H2" i="6"/>
  <c r="I2" i="6"/>
  <c r="J2" i="6"/>
  <c r="K2" i="6"/>
  <c r="L2" i="6"/>
  <c r="M2" i="6"/>
  <c r="N2" i="6"/>
  <c r="O2" i="6"/>
  <c r="E3" i="6"/>
  <c r="F3" i="6"/>
  <c r="G3" i="6"/>
  <c r="H3" i="6"/>
  <c r="I3" i="6"/>
  <c r="J3" i="6"/>
  <c r="K3" i="6"/>
  <c r="L3" i="6"/>
  <c r="M3" i="6"/>
  <c r="N3" i="6"/>
  <c r="O3" i="6"/>
  <c r="E4" i="6"/>
  <c r="F4" i="6"/>
  <c r="G4" i="6"/>
  <c r="H4" i="6"/>
  <c r="I4" i="6"/>
  <c r="J4" i="6"/>
  <c r="K4" i="6"/>
  <c r="L4" i="6"/>
  <c r="M4" i="6"/>
  <c r="N4" i="6"/>
  <c r="O4" i="6"/>
  <c r="M6" i="6"/>
  <c r="N6" i="6"/>
  <c r="O6" i="6"/>
  <c r="E14" i="6"/>
  <c r="F14" i="6"/>
  <c r="G14" i="6"/>
  <c r="H14" i="6"/>
  <c r="I14" i="6"/>
  <c r="J14" i="6"/>
  <c r="K14" i="6"/>
  <c r="L14" i="6"/>
  <c r="M14" i="6"/>
  <c r="N14" i="6"/>
  <c r="O14" i="6"/>
  <c r="E15" i="6"/>
  <c r="F15" i="6"/>
  <c r="G15" i="6"/>
  <c r="H15" i="6"/>
  <c r="I15" i="6"/>
  <c r="J15" i="6"/>
  <c r="K15" i="6"/>
  <c r="L15" i="6"/>
  <c r="M15" i="6"/>
  <c r="N15" i="6"/>
  <c r="O15" i="6"/>
  <c r="E16" i="6"/>
  <c r="F16" i="6"/>
  <c r="G16" i="6"/>
  <c r="H16" i="6"/>
  <c r="I16" i="6"/>
  <c r="J16" i="6"/>
  <c r="K16" i="6"/>
  <c r="L16" i="6"/>
  <c r="M16" i="6"/>
  <c r="N16" i="6"/>
  <c r="O16" i="6"/>
  <c r="E17" i="6"/>
  <c r="F17" i="6"/>
  <c r="G17" i="6"/>
  <c r="H17" i="6"/>
  <c r="I17" i="6"/>
  <c r="I20" i="6" s="1"/>
  <c r="J17" i="6"/>
  <c r="K17" i="6"/>
  <c r="K20" i="6" s="1"/>
  <c r="L17" i="6"/>
  <c r="M17" i="6"/>
  <c r="N17" i="6"/>
  <c r="O17" i="6"/>
  <c r="E18" i="6"/>
  <c r="F18" i="6"/>
  <c r="F20" i="6" s="1"/>
  <c r="G18" i="6"/>
  <c r="H18" i="6"/>
  <c r="I18" i="6"/>
  <c r="J18" i="6"/>
  <c r="K18" i="6"/>
  <c r="L18" i="6"/>
  <c r="L20" i="6" s="1"/>
  <c r="M18" i="6"/>
  <c r="N18" i="6"/>
  <c r="O18" i="6"/>
  <c r="O20" i="6" s="1"/>
  <c r="E19" i="6"/>
  <c r="F19" i="6"/>
  <c r="G19" i="6"/>
  <c r="H19" i="6"/>
  <c r="I19" i="6"/>
  <c r="J19" i="6"/>
  <c r="K19" i="6"/>
  <c r="L19" i="6"/>
  <c r="M19" i="6"/>
  <c r="M20" i="6" s="1"/>
  <c r="N19" i="6"/>
  <c r="O19" i="6"/>
  <c r="E20" i="6"/>
  <c r="J20" i="6"/>
  <c r="N20" i="6"/>
  <c r="I11" i="5"/>
  <c r="J11" i="5"/>
  <c r="K11" i="5"/>
  <c r="L11" i="5"/>
  <c r="I12" i="5"/>
  <c r="J12" i="5"/>
  <c r="K12" i="5"/>
  <c r="L12" i="5"/>
  <c r="I13" i="5"/>
  <c r="J13" i="5"/>
  <c r="K13" i="5"/>
  <c r="L13" i="5"/>
  <c r="B19" i="5"/>
  <c r="C19" i="5"/>
  <c r="D19" i="5"/>
  <c r="E19" i="5"/>
  <c r="F19" i="5"/>
  <c r="G19" i="5"/>
  <c r="H19" i="5"/>
  <c r="I19" i="5"/>
  <c r="J19" i="5"/>
  <c r="K19" i="5"/>
  <c r="L19" i="5"/>
  <c r="B20" i="5"/>
  <c r="C20" i="5"/>
  <c r="D20" i="5"/>
  <c r="E20" i="5"/>
  <c r="F20" i="5"/>
  <c r="G20" i="5"/>
  <c r="H20" i="5"/>
  <c r="I20" i="5"/>
  <c r="L20" i="5"/>
  <c r="B21" i="5"/>
  <c r="E21" i="5"/>
  <c r="E24" i="5" s="1"/>
  <c r="F21" i="5"/>
  <c r="F24" i="5" s="1"/>
  <c r="G21" i="5"/>
  <c r="G24" i="5" s="1"/>
  <c r="H21" i="5"/>
  <c r="I21" i="5"/>
  <c r="J21" i="5"/>
  <c r="K21" i="5"/>
  <c r="K24" i="5" s="1"/>
  <c r="L21" i="5"/>
  <c r="B22" i="5"/>
  <c r="E22" i="5"/>
  <c r="F22" i="5"/>
  <c r="G22" i="5"/>
  <c r="H22" i="5"/>
  <c r="H24" i="5" s="1"/>
  <c r="I22" i="5"/>
  <c r="I24" i="5" s="1"/>
  <c r="J22" i="5"/>
  <c r="J24" i="5" s="1"/>
  <c r="K22" i="5"/>
  <c r="L22" i="5"/>
  <c r="B23" i="5"/>
  <c r="E23" i="5"/>
  <c r="F23" i="5"/>
  <c r="G23" i="5"/>
  <c r="H23" i="5"/>
  <c r="I23" i="5"/>
  <c r="L23" i="5"/>
  <c r="B24" i="5"/>
  <c r="C24" i="5"/>
  <c r="D24" i="5"/>
  <c r="L24" i="5"/>
  <c r="B4" i="4"/>
  <c r="C4" i="4"/>
  <c r="D4" i="4"/>
  <c r="E4" i="4"/>
  <c r="F4" i="4"/>
  <c r="G4" i="4"/>
  <c r="H4" i="4"/>
  <c r="I4" i="4"/>
  <c r="J4" i="4"/>
  <c r="K4" i="4"/>
  <c r="L4" i="4"/>
  <c r="B5" i="4"/>
  <c r="C5" i="4"/>
  <c r="C7" i="4" s="1"/>
  <c r="D5" i="4"/>
  <c r="E5" i="4"/>
  <c r="E7" i="4" s="1"/>
  <c r="F5" i="4"/>
  <c r="G5" i="4"/>
  <c r="G7" i="4" s="1"/>
  <c r="H5" i="4"/>
  <c r="I5" i="4"/>
  <c r="J5" i="4"/>
  <c r="J7" i="4" s="1"/>
  <c r="K5" i="4"/>
  <c r="L5" i="4"/>
  <c r="B7" i="4"/>
  <c r="D7" i="4"/>
  <c r="F7" i="4"/>
  <c r="H7" i="4"/>
  <c r="I7" i="4"/>
  <c r="L7" i="4"/>
  <c r="H20" i="6" l="1"/>
  <c r="G20" i="6"/>
  <c r="K7" i="4"/>
</calcChain>
</file>

<file path=xl/sharedStrings.xml><?xml version="1.0" encoding="utf-8"?>
<sst xmlns="http://schemas.openxmlformats.org/spreadsheetml/2006/main" count="87" uniqueCount="68">
  <si>
    <t>Plástico</t>
  </si>
  <si>
    <t>AÑO</t>
  </si>
  <si>
    <t>Metas de Recolección y Valorización para Envases No Domiciliarios</t>
  </si>
  <si>
    <t>PE</t>
  </si>
  <si>
    <t>PP</t>
  </si>
  <si>
    <t>PET</t>
  </si>
  <si>
    <t>EF reciclado</t>
  </si>
  <si>
    <t>EF virgen</t>
  </si>
  <si>
    <t>Resina</t>
  </si>
  <si>
    <t>Factores de emisión de CO2 eq  para resinas plásticas</t>
  </si>
  <si>
    <t>Población total (habitantes)</t>
  </si>
  <si>
    <t>Producción de materia prima reciclada (ton)</t>
  </si>
  <si>
    <t>Exportación de manufacturas plásticas (productos procesados) (ton)</t>
  </si>
  <si>
    <t>Importación de manufacturas plásticas (ton)</t>
  </si>
  <si>
    <t>Importación de materia prima virgen (ton)</t>
  </si>
  <si>
    <t>Importación de materia prima reciclada (ton)</t>
  </si>
  <si>
    <t>Cantidad de envases y emblajes reciclados (ton)</t>
  </si>
  <si>
    <t>Tasa de reciclaje de envases y embalajes (%)</t>
  </si>
  <si>
    <t>Entradas envases y embalajes (48%) (ton)</t>
  </si>
  <si>
    <t>Cantidad de plástico de todo tipo reciclado (ton)</t>
  </si>
  <si>
    <t>Tasa de reciclaje total, todo tipo de plástico (%)</t>
  </si>
  <si>
    <t>Consumo aparente de plásticos (ton)</t>
  </si>
  <si>
    <t>PEBD</t>
  </si>
  <si>
    <t>PEBDL</t>
  </si>
  <si>
    <t>PEAD</t>
  </si>
  <si>
    <t>Importación de Materia Prima Virgen por Tipo de Resina</t>
  </si>
  <si>
    <t>Consumo local por Tipo de Resina</t>
  </si>
  <si>
    <t>Según la Asociación Nacional de la Industria del Reciclaje (ANIR) en Chile, el Material Gestionado País (MGP) en plásticos es la cantidad de envases, embalajes o resinas plásticas de posconsumo que fueron efectivamente recolectadas, recuperadas y enviadas a procesos de valorización dentro del territorio nacional o mediante su exportación.</t>
  </si>
  <si>
    <t>Material Gestionado País (MGP) por Tipo de Resina</t>
  </si>
  <si>
    <t>Suma PET, PP y PE</t>
  </si>
  <si>
    <t>Total IRP</t>
  </si>
  <si>
    <t>IRP_total</t>
  </si>
  <si>
    <t>Qrec= materia prima gestionada de resina j</t>
  </si>
  <si>
    <t>Erec= impacto por kg de plástico reciclado</t>
  </si>
  <si>
    <t>Evir= impacto por kg de plástico virgen</t>
  </si>
  <si>
    <t>Potencial de Reducción de Impacto</t>
  </si>
  <si>
    <t>IRP</t>
  </si>
  <si>
    <t>Qvir = materia prima virgen de la resina j</t>
  </si>
  <si>
    <t>eC(j,t) = Qrec(j,t) / Qvir(j,t)</t>
  </si>
  <si>
    <t>Qrec = materia prima gestionada o reciclada de la resina j</t>
  </si>
  <si>
    <t>Circularidad efectiva</t>
  </si>
  <si>
    <t>eC</t>
  </si>
  <si>
    <t>F(X) = utilidad/durabilidad del producto; no disponible para el sistema nacional</t>
  </si>
  <si>
    <t>Wc = pérdidas del reciclaje al final de vida; no disponible</t>
  </si>
  <si>
    <t>Wf = pérdidas de producción de materia prima reciclada; no disponible</t>
  </si>
  <si>
    <t>W = residuos no recuperados; no disponible con la misma frontera</t>
  </si>
  <si>
    <t>V = entrada virgen; disponible solo como importación, no como entrada total al producto</t>
  </si>
  <si>
    <t>No se reporta una serie numérica sin una frontera coherente y datos auditables</t>
  </si>
  <si>
    <t>No calculado</t>
  </si>
  <si>
    <t>MCI</t>
  </si>
  <si>
    <t>Disponible desde 2023, inicio de la implementación operativa de las metas para envases</t>
  </si>
  <si>
    <t>Vrec,t / (meta_t x Gpackaging,t-1)</t>
  </si>
  <si>
    <t>Indicador estimado de avance respecto de la meta REP</t>
  </si>
  <si>
    <t>IC_REP_est</t>
  </si>
  <si>
    <t>P= población</t>
  </si>
  <si>
    <t>Gpackaging/P, kg/hab/año</t>
  </si>
  <si>
    <t>Escala de generación de residuos de envases</t>
  </si>
  <si>
    <t>Tgr</t>
  </si>
  <si>
    <t>Rpackaging/Gpackaging</t>
  </si>
  <si>
    <t>Tasa de reciclaje de envases y embalajes</t>
  </si>
  <si>
    <t>TR_packaging</t>
  </si>
  <si>
    <t>Rtotal/Ctotal</t>
  </si>
  <si>
    <t>Tasa de reciclaje total</t>
  </si>
  <si>
    <t>TR_total</t>
  </si>
  <si>
    <t>RESINA</t>
  </si>
  <si>
    <t>Variables</t>
  </si>
  <si>
    <t>Definición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</si>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</sst>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164" formatCode="0\ %"/>
    <numFmt numFmtId="165" formatCode="_-* #,##0_-;\-* #,##0_-;_-* \-_-;_-@_-"/>
    <numFmt numFmtId="166" formatCode="_ * #,##0_ ;_ * \-#,##0_ ;_ * \-_ ;_ @_ "/>
    <numFmt numFmtId="167" formatCode="0.00\ %"/>
    <numFmt numFmtId="168" formatCode="0.0%"/>
    <numFmt numFmtId="169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1"/>
      <color theme="10"/>
      <name val="Aptos Narrow"/>
      <family val="2"/>
    </font>
    <font>
      <sz val="11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b/>
      <sz val="11"/>
      <color theme="1"/>
      <name val="Aptos Narrow"/>
      <family val="2"/>
    </font>
    <font>
      <b/>
      <i/>
      <sz val="11"/>
      <name val="Aptos Narrow"/>
      <family val="2"/>
    </font>
    <font>
      <b/>
      <sz val="11"/>
      <name val="Aptos Narrow"/>
      <family val="2"/>
    </font>
    <font>
      <sz val="11"/>
      <name val="Calibri"/>
      <family val="2"/>
    </font>
    <font>
      <b/>
      <i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79857783745845"/>
        <bgColor indexed="65"/>
      </patternFill>
    </fill>
    <fill>
      <patternFill patternType="solid">
        <fgColor theme="7" tint="0.7997985778374584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79857783745845"/>
        <bgColor indexed="65"/>
      </patternFill>
    </fill>
    <fill>
      <patternFill patternType="solid">
        <fgColor theme="5" tint="0.7997985778374584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5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164" fontId="1" fillId="0" borderId="0"/>
    <xf numFmtId="0" fontId="3" fillId="0" borderId="0"/>
    <xf numFmtId="165" fontId="1" fillId="0" borderId="0"/>
    <xf numFmtId="41" fontId="1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1"/>
    <xf numFmtId="164" fontId="1" fillId="0" borderId="1" xfId="2" applyBorder="1"/>
    <xf numFmtId="0" fontId="2" fillId="0" borderId="2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center" vertical="center"/>
    </xf>
    <xf numFmtId="166" fontId="1" fillId="0" borderId="1" xfId="4" applyNumberFormat="1" applyBorder="1" applyAlignment="1">
      <alignment horizontal="center"/>
    </xf>
    <xf numFmtId="164" fontId="1" fillId="0" borderId="0" xfId="2"/>
    <xf numFmtId="0" fontId="2" fillId="0" borderId="0" xfId="1" applyFont="1" applyAlignment="1">
      <alignment horizontal="center" vertical="center"/>
    </xf>
    <xf numFmtId="0" fontId="2" fillId="0" borderId="0" xfId="1" applyFont="1"/>
    <xf numFmtId="0" fontId="1" fillId="0" borderId="0" xfId="1" applyAlignment="1">
      <alignment vertical="center"/>
    </xf>
    <xf numFmtId="166" fontId="1" fillId="2" borderId="1" xfId="4" applyNumberFormat="1" applyFill="1" applyBorder="1" applyAlignment="1">
      <alignment vertical="center"/>
    </xf>
    <xf numFmtId="0" fontId="2" fillId="2" borderId="1" xfId="1" applyFont="1" applyFill="1" applyBorder="1" applyAlignment="1">
      <alignment vertical="center" wrapText="1"/>
    </xf>
    <xf numFmtId="166" fontId="4" fillId="3" borderId="1" xfId="4" applyNumberFormat="1" applyFont="1" applyFill="1" applyBorder="1" applyAlignment="1">
      <alignment horizontal="center" vertical="center"/>
    </xf>
    <xf numFmtId="166" fontId="4" fillId="3" borderId="1" xfId="4" applyNumberFormat="1" applyFont="1" applyFill="1" applyBorder="1" applyAlignment="1">
      <alignment vertical="center"/>
    </xf>
    <xf numFmtId="166" fontId="1" fillId="3" borderId="1" xfId="4" applyNumberFormat="1" applyFill="1" applyBorder="1" applyAlignment="1">
      <alignment horizontal="center" vertical="center"/>
    </xf>
    <xf numFmtId="166" fontId="4" fillId="4" borderId="1" xfId="4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wrapText="1"/>
    </xf>
    <xf numFmtId="166" fontId="1" fillId="5" borderId="1" xfId="4" applyNumberFormat="1" applyFill="1" applyBorder="1" applyAlignment="1">
      <alignment vertical="center"/>
    </xf>
    <xf numFmtId="0" fontId="2" fillId="5" borderId="1" xfId="1" applyFont="1" applyFill="1" applyBorder="1" applyAlignment="1">
      <alignment wrapText="1"/>
    </xf>
    <xf numFmtId="166" fontId="4" fillId="6" borderId="1" xfId="4" applyNumberFormat="1" applyFont="1" applyFill="1" applyBorder="1" applyAlignment="1">
      <alignment horizontal="center" vertical="center"/>
    </xf>
    <xf numFmtId="166" fontId="4" fillId="6" borderId="1" xfId="4" applyNumberFormat="1" applyFont="1" applyFill="1" applyBorder="1" applyAlignment="1">
      <alignment vertical="center"/>
    </xf>
    <xf numFmtId="0" fontId="2" fillId="6" borderId="1" xfId="1" applyFont="1" applyFill="1" applyBorder="1" applyAlignment="1">
      <alignment wrapText="1"/>
    </xf>
    <xf numFmtId="166" fontId="1" fillId="3" borderId="1" xfId="4" applyNumberFormat="1" applyFill="1" applyBorder="1" applyAlignment="1">
      <alignment vertical="center"/>
    </xf>
    <xf numFmtId="166" fontId="1" fillId="6" borderId="1" xfId="4" applyNumberFormat="1" applyFill="1" applyBorder="1" applyAlignment="1">
      <alignment vertical="center"/>
    </xf>
    <xf numFmtId="166" fontId="1" fillId="7" borderId="1" xfId="4" applyNumberFormat="1" applyFill="1" applyBorder="1" applyAlignment="1">
      <alignment vertical="center"/>
    </xf>
    <xf numFmtId="166" fontId="1" fillId="2" borderId="1" xfId="4" applyNumberFormat="1" applyFill="1" applyBorder="1" applyAlignment="1">
      <alignment horizontal="center" vertical="center"/>
    </xf>
    <xf numFmtId="0" fontId="2" fillId="2" borderId="1" xfId="1" applyFont="1" applyFill="1" applyBorder="1" applyAlignment="1">
      <alignment wrapText="1"/>
    </xf>
    <xf numFmtId="164" fontId="1" fillId="2" borderId="1" xfId="1" applyNumberFormat="1" applyFill="1" applyBorder="1" applyAlignment="1">
      <alignment horizontal="center" vertical="center"/>
    </xf>
    <xf numFmtId="164" fontId="1" fillId="2" borderId="1" xfId="2" applyFill="1" applyBorder="1" applyAlignment="1">
      <alignment horizontal="center" vertical="center"/>
    </xf>
    <xf numFmtId="166" fontId="1" fillId="5" borderId="1" xfId="4" applyNumberForma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 wrapText="1"/>
    </xf>
    <xf numFmtId="167" fontId="1" fillId="0" borderId="0" xfId="1" applyNumberFormat="1"/>
    <xf numFmtId="167" fontId="1" fillId="4" borderId="1" xfId="1" applyNumberFormat="1" applyFill="1" applyBorder="1" applyAlignment="1">
      <alignment horizontal="center" vertical="center"/>
    </xf>
    <xf numFmtId="167" fontId="1" fillId="3" borderId="1" xfId="1" applyNumberFormat="1" applyFill="1" applyBorder="1" applyAlignment="1">
      <alignment horizontal="center" vertical="center"/>
    </xf>
    <xf numFmtId="167" fontId="4" fillId="3" borderId="1" xfId="2" applyNumberFormat="1" applyFont="1" applyFill="1" applyBorder="1" applyAlignment="1">
      <alignment horizontal="center" vertical="center"/>
    </xf>
    <xf numFmtId="168" fontId="1" fillId="3" borderId="1" xfId="2" applyNumberFormat="1" applyFill="1" applyBorder="1" applyAlignment="1">
      <alignment horizontal="center" vertical="center"/>
    </xf>
    <xf numFmtId="168" fontId="4" fillId="3" borderId="1" xfId="2" applyNumberFormat="1" applyFont="1" applyFill="1" applyBorder="1" applyAlignment="1">
      <alignment horizontal="center" vertical="center"/>
    </xf>
    <xf numFmtId="49" fontId="1" fillId="0" borderId="0" xfId="1" applyNumberFormat="1" applyAlignment="1">
      <alignment vertical="center"/>
    </xf>
    <xf numFmtId="41" fontId="1" fillId="6" borderId="1" xfId="5" applyFont="1" applyFill="1" applyBorder="1" applyAlignment="1">
      <alignment horizontal="center" vertical="center"/>
    </xf>
    <xf numFmtId="41" fontId="0" fillId="6" borderId="1" xfId="5" applyFont="1" applyFill="1" applyBorder="1" applyAlignment="1">
      <alignment horizontal="center" vertical="center"/>
    </xf>
    <xf numFmtId="49" fontId="2" fillId="6" borderId="1" xfId="1" applyNumberFormat="1" applyFont="1" applyFill="1" applyBorder="1" applyAlignment="1">
      <alignment vertical="center" wrapText="1"/>
    </xf>
    <xf numFmtId="0" fontId="3" fillId="0" borderId="0" xfId="3"/>
    <xf numFmtId="166" fontId="4" fillId="0" borderId="1" xfId="1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66" fontId="4" fillId="0" borderId="1" xfId="4" applyNumberFormat="1" applyFont="1" applyBorder="1" applyAlignment="1">
      <alignment horizontal="center"/>
    </xf>
    <xf numFmtId="166" fontId="1" fillId="0" borderId="0" xfId="4" applyNumberFormat="1" applyAlignment="1">
      <alignment vertical="center"/>
    </xf>
    <xf numFmtId="166" fontId="1" fillId="0" borderId="0" xfId="1" applyNumberFormat="1"/>
    <xf numFmtId="166" fontId="6" fillId="0" borderId="1" xfId="4" applyNumberFormat="1" applyFont="1" applyBorder="1" applyAlignment="1">
      <alignment horizontal="center" vertical="center"/>
    </xf>
    <xf numFmtId="166" fontId="1" fillId="0" borderId="0" xfId="4" applyNumberFormat="1"/>
    <xf numFmtId="166" fontId="1" fillId="0" borderId="1" xfId="4" applyNumberFormat="1" applyBorder="1"/>
    <xf numFmtId="3" fontId="1" fillId="0" borderId="1" xfId="1" applyNumberFormat="1" applyBorder="1"/>
    <xf numFmtId="166" fontId="4" fillId="0" borderId="1" xfId="4" applyNumberFormat="1" applyFont="1" applyBorder="1"/>
    <xf numFmtId="0" fontId="7" fillId="0" borderId="0" xfId="1" applyFont="1" applyAlignment="1">
      <alignment horizontal="center" vertical="center"/>
    </xf>
    <xf numFmtId="0" fontId="4" fillId="0" borderId="0" xfId="1" applyFont="1"/>
    <xf numFmtId="169" fontId="4" fillId="0" borderId="7" xfId="1" applyNumberFormat="1" applyFont="1" applyBorder="1"/>
    <xf numFmtId="169" fontId="4" fillId="0" borderId="8" xfId="1" applyNumberFormat="1" applyFont="1" applyBorder="1"/>
    <xf numFmtId="0" fontId="5" fillId="0" borderId="8" xfId="1" applyFont="1" applyBorder="1" applyAlignment="1">
      <alignment horizontal="center" vertical="center"/>
    </xf>
    <xf numFmtId="0" fontId="8" fillId="0" borderId="8" xfId="1" applyFont="1" applyBorder="1" applyAlignment="1">
      <alignment wrapText="1"/>
    </xf>
    <xf numFmtId="0" fontId="8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169" fontId="4" fillId="0" borderId="10" xfId="1" applyNumberFormat="1" applyFont="1" applyBorder="1"/>
    <xf numFmtId="169" fontId="4" fillId="0" borderId="1" xfId="1" applyNumberFormat="1" applyFont="1" applyBorder="1"/>
    <xf numFmtId="0" fontId="8" fillId="0" borderId="1" xfId="1" applyFont="1" applyBorder="1" applyAlignment="1">
      <alignment wrapText="1"/>
    </xf>
    <xf numFmtId="0" fontId="8" fillId="0" borderId="11" xfId="1" applyFont="1" applyBorder="1" applyAlignment="1">
      <alignment horizontal="center" vertical="center"/>
    </xf>
    <xf numFmtId="169" fontId="4" fillId="0" borderId="13" xfId="1" applyNumberFormat="1" applyFont="1" applyBorder="1"/>
    <xf numFmtId="169" fontId="4" fillId="0" borderId="11" xfId="1" applyNumberFormat="1" applyFont="1" applyBorder="1"/>
    <xf numFmtId="0" fontId="5" fillId="0" borderId="11" xfId="1" applyFont="1" applyBorder="1" applyAlignment="1">
      <alignment horizontal="center" vertical="center"/>
    </xf>
    <xf numFmtId="0" fontId="8" fillId="0" borderId="11" xfId="1" applyFont="1" applyBorder="1" applyAlignment="1">
      <alignment wrapText="1"/>
    </xf>
    <xf numFmtId="169" fontId="4" fillId="0" borderId="14" xfId="1" applyNumberFormat="1" applyFont="1" applyBorder="1"/>
    <xf numFmtId="169" fontId="4" fillId="0" borderId="15" xfId="1" applyNumberFormat="1" applyFont="1" applyBorder="1"/>
    <xf numFmtId="0" fontId="5" fillId="0" borderId="15" xfId="1" applyFont="1" applyBorder="1" applyAlignment="1">
      <alignment horizontal="center" vertical="center"/>
    </xf>
    <xf numFmtId="0" fontId="8" fillId="0" borderId="15" xfId="1" applyFont="1" applyBorder="1" applyAlignment="1">
      <alignment horizontal="left" vertical="center" wrapText="1"/>
    </xf>
    <xf numFmtId="0" fontId="5" fillId="0" borderId="12" xfId="1" applyFont="1" applyBorder="1" applyAlignment="1">
      <alignment horizontal="center" vertical="center"/>
    </xf>
    <xf numFmtId="0" fontId="11" fillId="10" borderId="15" xfId="1" applyFont="1" applyFill="1" applyBorder="1" applyAlignment="1">
      <alignment wrapText="1"/>
    </xf>
    <xf numFmtId="0" fontId="8" fillId="0" borderId="19" xfId="1" applyFont="1" applyBorder="1" applyAlignment="1">
      <alignment wrapText="1"/>
    </xf>
    <xf numFmtId="0" fontId="11" fillId="10" borderId="1" xfId="1" applyFont="1" applyFill="1" applyBorder="1" applyAlignment="1">
      <alignment wrapText="1"/>
    </xf>
    <xf numFmtId="0" fontId="8" fillId="0" borderId="23" xfId="1" applyFont="1" applyBorder="1" applyAlignment="1">
      <alignment wrapText="1"/>
    </xf>
    <xf numFmtId="0" fontId="11" fillId="10" borderId="11" xfId="1" applyFont="1" applyFill="1" applyBorder="1"/>
    <xf numFmtId="0" fontId="8" fillId="0" borderId="12" xfId="1" applyFont="1" applyBorder="1" applyAlignment="1">
      <alignment wrapText="1"/>
    </xf>
    <xf numFmtId="0" fontId="8" fillId="10" borderId="28" xfId="1" applyFont="1" applyFill="1" applyBorder="1"/>
    <xf numFmtId="0" fontId="8" fillId="0" borderId="28" xfId="1" applyFont="1" applyBorder="1" applyAlignment="1">
      <alignment wrapText="1"/>
    </xf>
    <xf numFmtId="0" fontId="8" fillId="10" borderId="11" xfId="1" applyFont="1" applyFill="1" applyBorder="1"/>
    <xf numFmtId="0" fontId="9" fillId="10" borderId="15" xfId="1" applyFont="1" applyFill="1" applyBorder="1"/>
    <xf numFmtId="0" fontId="9" fillId="0" borderId="15" xfId="1" applyFont="1" applyBorder="1"/>
    <xf numFmtId="0" fontId="9" fillId="10" borderId="11" xfId="1" applyFont="1" applyFill="1" applyBorder="1"/>
    <xf numFmtId="0" fontId="9" fillId="0" borderId="11" xfId="1" applyFont="1" applyBorder="1"/>
    <xf numFmtId="168" fontId="4" fillId="0" borderId="13" xfId="1" applyNumberFormat="1" applyFont="1" applyBorder="1" applyAlignment="1">
      <alignment horizontal="center" vertical="center"/>
    </xf>
    <xf numFmtId="168" fontId="4" fillId="0" borderId="11" xfId="1" applyNumberFormat="1" applyFont="1" applyBorder="1" applyAlignment="1">
      <alignment horizontal="center" vertical="center"/>
    </xf>
    <xf numFmtId="0" fontId="8" fillId="0" borderId="11" xfId="1" applyFont="1" applyBorder="1"/>
    <xf numFmtId="0" fontId="5" fillId="0" borderId="0" xfId="1" applyFont="1" applyAlignment="1">
      <alignment horizontal="center"/>
    </xf>
    <xf numFmtId="0" fontId="5" fillId="0" borderId="7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7" borderId="6" xfId="1" applyFon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 wrapText="1"/>
    </xf>
    <xf numFmtId="169" fontId="4" fillId="0" borderId="11" xfId="1" applyNumberFormat="1" applyFont="1" applyBorder="1" applyAlignment="1">
      <alignment horizontal="center" vertical="center"/>
    </xf>
    <xf numFmtId="168" fontId="4" fillId="10" borderId="8" xfId="1" applyNumberFormat="1" applyFont="1" applyFill="1" applyBorder="1" applyAlignment="1">
      <alignment horizontal="center"/>
    </xf>
    <xf numFmtId="168" fontId="4" fillId="0" borderId="11" xfId="2" applyNumberFormat="1" applyFont="1" applyBorder="1" applyAlignment="1">
      <alignment vertical="center"/>
    </xf>
    <xf numFmtId="168" fontId="4" fillId="0" borderId="13" xfId="2" applyNumberFormat="1" applyFont="1" applyBorder="1" applyAlignment="1">
      <alignment vertical="center"/>
    </xf>
    <xf numFmtId="0" fontId="5" fillId="0" borderId="12" xfId="1" applyFont="1" applyBorder="1" applyAlignment="1">
      <alignment horizontal="center" vertical="center" wrapText="1"/>
    </xf>
    <xf numFmtId="168" fontId="4" fillId="10" borderId="27" xfId="1" applyNumberFormat="1" applyFont="1" applyFill="1" applyBorder="1" applyAlignment="1">
      <alignment horizontal="center"/>
    </xf>
    <xf numFmtId="169" fontId="10" fillId="9" borderId="26" xfId="1" applyNumberFormat="1" applyFont="1" applyFill="1" applyBorder="1" applyAlignment="1">
      <alignment horizontal="center" vertical="center"/>
    </xf>
    <xf numFmtId="169" fontId="10" fillId="9" borderId="25" xfId="1" applyNumberFormat="1" applyFont="1" applyFill="1" applyBorder="1" applyAlignment="1">
      <alignment horizontal="center" vertical="center"/>
    </xf>
    <xf numFmtId="169" fontId="10" fillId="9" borderId="24" xfId="1" applyNumberFormat="1" applyFont="1" applyFill="1" applyBorder="1" applyAlignment="1">
      <alignment horizontal="center" vertical="center"/>
    </xf>
    <xf numFmtId="169" fontId="10" fillId="9" borderId="22" xfId="1" applyNumberFormat="1" applyFont="1" applyFill="1" applyBorder="1" applyAlignment="1">
      <alignment horizontal="center" vertical="center"/>
    </xf>
    <xf numFmtId="169" fontId="10" fillId="9" borderId="0" xfId="1" applyNumberFormat="1" applyFont="1" applyFill="1" applyAlignment="1">
      <alignment horizontal="center" vertical="center"/>
    </xf>
    <xf numFmtId="169" fontId="10" fillId="9" borderId="21" xfId="1" applyNumberFormat="1" applyFont="1" applyFill="1" applyBorder="1" applyAlignment="1">
      <alignment horizontal="center" vertical="center"/>
    </xf>
    <xf numFmtId="169" fontId="10" fillId="9" borderId="18" xfId="1" applyNumberFormat="1" applyFont="1" applyFill="1" applyBorder="1" applyAlignment="1">
      <alignment horizontal="center" vertical="center"/>
    </xf>
    <xf numFmtId="169" fontId="10" fillId="9" borderId="17" xfId="1" applyNumberFormat="1" applyFont="1" applyFill="1" applyBorder="1" applyAlignment="1">
      <alignment horizontal="center" vertical="center"/>
    </xf>
    <xf numFmtId="169" fontId="10" fillId="9" borderId="16" xfId="1" applyNumberFormat="1" applyFont="1" applyFill="1" applyBorder="1" applyAlignment="1">
      <alignment horizontal="center" vertical="center"/>
    </xf>
    <xf numFmtId="169" fontId="4" fillId="0" borderId="13" xfId="1" applyNumberFormat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1" xfId="1" applyFont="1" applyBorder="1" applyAlignment="1">
      <alignment horizontal="left" vertical="center" wrapText="1"/>
    </xf>
    <xf numFmtId="0" fontId="8" fillId="0" borderId="20" xfId="1" applyFont="1" applyBorder="1" applyAlignment="1">
      <alignment horizontal="center" vertical="center" wrapText="1"/>
    </xf>
  </cellXfs>
  <cellStyles count="6">
    <cellStyle name="Excel Built-in Comma [0]" xfId="4" xr:uid="{F07347B7-0C66-46DE-84C5-12B9B45FBD57}"/>
    <cellStyle name="Hipervínculo" xfId="3" xr:uid="{E01CE2D6-AEB9-41F1-9205-BD5CC771C41B}"/>
    <cellStyle name="Millares [0] 2" xfId="5" xr:uid="{DAFFB2A4-C64E-427D-84B9-129077D16B30}"/>
    <cellStyle name="Normal" xfId="0" builtinId="0"/>
    <cellStyle name="Normal 2" xfId="1" xr:uid="{FA774E49-235E-4AAE-A074-B96BE2498667}"/>
    <cellStyle name="Porcentaje 2" xfId="2" xr:uid="{9B2AC170-72D5-4033-B922-6DCA119B1D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E1EA-CEA6-4063-AF7F-CBBA06ED085A}">
  <sheetPr>
    <tabColor rgb="FFB4E5A2"/>
  </sheetPr>
  <dimension ref="A1:N13"/>
  <sheetViews>
    <sheetView showGridLines="0" tabSelected="1" workbookViewId="0">
      <selection activeCell="A3" sqref="A3"/>
    </sheetView>
  </sheetViews>
  <sheetFormatPr baseColWidth="10" defaultColWidth="10.77734375" defaultRowHeight="15.6" x14ac:dyDescent="0.3"/>
  <cols>
    <col min="1" max="1" width="30.88671875" style="9" customWidth="1"/>
    <col min="2" max="12" width="15.77734375" style="1" customWidth="1"/>
    <col min="13" max="16384" width="10.77734375" style="1"/>
  </cols>
  <sheetData>
    <row r="1" spans="1:14" s="8" customFormat="1" x14ac:dyDescent="0.3">
      <c r="A1" s="5" t="s">
        <v>1</v>
      </c>
      <c r="B1" s="5">
        <v>2015</v>
      </c>
      <c r="C1" s="5">
        <v>2016</v>
      </c>
      <c r="D1" s="5">
        <v>2017</v>
      </c>
      <c r="E1" s="5">
        <v>2018</v>
      </c>
      <c r="F1" s="5">
        <v>2019</v>
      </c>
      <c r="G1" s="5">
        <v>2020</v>
      </c>
      <c r="H1" s="5">
        <v>2021</v>
      </c>
      <c r="I1" s="5">
        <v>2022</v>
      </c>
      <c r="J1" s="5">
        <v>2023</v>
      </c>
      <c r="K1" s="5">
        <v>2024</v>
      </c>
      <c r="L1" s="5">
        <v>2025</v>
      </c>
    </row>
    <row r="2" spans="1:14" s="38" customFormat="1" ht="31.2" x14ac:dyDescent="0.3">
      <c r="A2" s="41" t="s">
        <v>21</v>
      </c>
      <c r="B2" s="40">
        <v>876000</v>
      </c>
      <c r="C2" s="40">
        <v>930000</v>
      </c>
      <c r="D2" s="40">
        <v>879000</v>
      </c>
      <c r="E2" s="40">
        <v>973000</v>
      </c>
      <c r="F2" s="40">
        <v>959000</v>
      </c>
      <c r="G2" s="40">
        <v>953000</v>
      </c>
      <c r="H2" s="40">
        <v>1334000</v>
      </c>
      <c r="I2" s="40">
        <v>1258000</v>
      </c>
      <c r="J2" s="40">
        <v>1155000</v>
      </c>
      <c r="K2" s="40">
        <v>1238000</v>
      </c>
      <c r="L2" s="39">
        <v>1339000</v>
      </c>
    </row>
    <row r="3" spans="1:14" ht="32.549999999999997" customHeight="1" x14ac:dyDescent="0.3">
      <c r="A3" s="17" t="s">
        <v>20</v>
      </c>
      <c r="B3" s="34">
        <v>8.5000000000000006E-2</v>
      </c>
      <c r="C3" s="34">
        <v>8.5000000000000006E-2</v>
      </c>
      <c r="D3" s="34">
        <v>8.5000000000000006E-2</v>
      </c>
      <c r="E3" s="34">
        <v>8.5000000000000006E-2</v>
      </c>
      <c r="F3" s="35">
        <v>9.0499999999999997E-2</v>
      </c>
      <c r="G3" s="37">
        <v>9.6000000000000002E-2</v>
      </c>
      <c r="H3" s="36">
        <v>8.6999999999999994E-2</v>
      </c>
      <c r="I3" s="34">
        <v>7.8E-2</v>
      </c>
      <c r="J3" s="35">
        <v>9.0499999999999997E-2</v>
      </c>
      <c r="K3" s="34">
        <v>0.10299999999999999</v>
      </c>
      <c r="L3" s="33">
        <v>0.10299999999999999</v>
      </c>
      <c r="N3" s="32"/>
    </row>
    <row r="4" spans="1:14" ht="31.2" x14ac:dyDescent="0.3">
      <c r="A4" s="31" t="s">
        <v>19</v>
      </c>
      <c r="B4" s="14">
        <f>+B2*B3</f>
        <v>74460</v>
      </c>
      <c r="C4" s="14">
        <f>+C2*C3</f>
        <v>79050</v>
      </c>
      <c r="D4" s="13">
        <f>+D2*D3</f>
        <v>74715</v>
      </c>
      <c r="E4" s="15">
        <f>+E3*E2</f>
        <v>82705</v>
      </c>
      <c r="F4" s="14">
        <f>+F2*F3</f>
        <v>86789.5</v>
      </c>
      <c r="G4" s="13">
        <f>+G3*G2</f>
        <v>91488</v>
      </c>
      <c r="H4" s="15">
        <f>+H2*H3</f>
        <v>116057.99999999999</v>
      </c>
      <c r="I4" s="13">
        <f>+I3*I2</f>
        <v>98124</v>
      </c>
      <c r="J4" s="13">
        <f>+J2*J3</f>
        <v>104527.5</v>
      </c>
      <c r="K4" s="13">
        <f>+K3*K2</f>
        <v>127514</v>
      </c>
      <c r="L4" s="13">
        <f>+L3*L2</f>
        <v>137917</v>
      </c>
    </row>
    <row r="5" spans="1:14" ht="31.2" x14ac:dyDescent="0.3">
      <c r="A5" s="19" t="s">
        <v>18</v>
      </c>
      <c r="B5" s="30">
        <f>+B2*0.48</f>
        <v>420480</v>
      </c>
      <c r="C5" s="30">
        <f>+C2*0.48</f>
        <v>446400</v>
      </c>
      <c r="D5" s="30">
        <f>+D2*0.48</f>
        <v>421920</v>
      </c>
      <c r="E5" s="30">
        <f>E2*0.48</f>
        <v>467040</v>
      </c>
      <c r="F5" s="30">
        <f t="shared" ref="F5:L5" si="0">+F2*0.48</f>
        <v>460320</v>
      </c>
      <c r="G5" s="30">
        <f t="shared" si="0"/>
        <v>457440</v>
      </c>
      <c r="H5" s="30">
        <f t="shared" si="0"/>
        <v>640320</v>
      </c>
      <c r="I5" s="30">
        <f t="shared" si="0"/>
        <v>603840</v>
      </c>
      <c r="J5" s="30">
        <f t="shared" si="0"/>
        <v>554400</v>
      </c>
      <c r="K5" s="30">
        <f t="shared" si="0"/>
        <v>594240</v>
      </c>
      <c r="L5" s="30">
        <f t="shared" si="0"/>
        <v>642720</v>
      </c>
    </row>
    <row r="6" spans="1:14" ht="31.2" x14ac:dyDescent="0.3">
      <c r="A6" s="27" t="s">
        <v>17</v>
      </c>
      <c r="B6" s="28">
        <v>7.0000000000000007E-2</v>
      </c>
      <c r="C6" s="28">
        <v>7.0000000000000007E-2</v>
      </c>
      <c r="D6" s="28">
        <v>7.0000000000000007E-2</v>
      </c>
      <c r="E6" s="28">
        <v>7.0000000000000007E-2</v>
      </c>
      <c r="F6" s="29">
        <v>0.08</v>
      </c>
      <c r="G6" s="29">
        <v>0.09</v>
      </c>
      <c r="H6" s="29">
        <v>0.1</v>
      </c>
      <c r="I6" s="29">
        <v>0.11</v>
      </c>
      <c r="J6" s="29">
        <v>0.12</v>
      </c>
      <c r="K6" s="28">
        <v>0.13</v>
      </c>
      <c r="L6" s="28">
        <v>0.14000000000000001</v>
      </c>
    </row>
    <row r="7" spans="1:14" ht="32.549999999999997" customHeight="1" x14ac:dyDescent="0.3">
      <c r="A7" s="27" t="s">
        <v>16</v>
      </c>
      <c r="B7" s="26">
        <f>+B5*B6</f>
        <v>29433.600000000002</v>
      </c>
      <c r="C7" s="26">
        <f>+C5*C6</f>
        <v>31248.000000000004</v>
      </c>
      <c r="D7" s="26">
        <f>+D5*D6</f>
        <v>29534.400000000001</v>
      </c>
      <c r="E7" s="11">
        <f>E5*E6</f>
        <v>32692.800000000003</v>
      </c>
      <c r="F7" s="11">
        <f t="shared" ref="F7:L7" si="1">+F5*F6</f>
        <v>36825.599999999999</v>
      </c>
      <c r="G7" s="11">
        <f t="shared" si="1"/>
        <v>41169.599999999999</v>
      </c>
      <c r="H7" s="11">
        <f t="shared" si="1"/>
        <v>64032</v>
      </c>
      <c r="I7" s="11">
        <f t="shared" si="1"/>
        <v>66422.399999999994</v>
      </c>
      <c r="J7" s="11">
        <f t="shared" si="1"/>
        <v>66528</v>
      </c>
      <c r="K7" s="26">
        <f t="shared" si="1"/>
        <v>77251.199999999997</v>
      </c>
      <c r="L7" s="26">
        <f t="shared" si="1"/>
        <v>89980.800000000003</v>
      </c>
    </row>
    <row r="8" spans="1:14" ht="31.2" x14ac:dyDescent="0.3">
      <c r="A8" s="22" t="s">
        <v>15</v>
      </c>
      <c r="B8" s="25">
        <v>7636</v>
      </c>
      <c r="C8" s="25">
        <v>7636</v>
      </c>
      <c r="D8" s="24">
        <v>7636</v>
      </c>
      <c r="E8" s="24">
        <v>7745</v>
      </c>
      <c r="F8" s="24">
        <v>1558</v>
      </c>
      <c r="G8" s="24">
        <v>7373</v>
      </c>
      <c r="H8" s="24">
        <v>11251</v>
      </c>
      <c r="I8" s="24">
        <v>9864</v>
      </c>
      <c r="J8" s="24">
        <v>5989</v>
      </c>
      <c r="K8" s="24">
        <v>9822</v>
      </c>
      <c r="L8" s="24">
        <v>7504</v>
      </c>
    </row>
    <row r="9" spans="1:14" ht="31.2" x14ac:dyDescent="0.3">
      <c r="A9" s="17" t="s">
        <v>14</v>
      </c>
      <c r="B9" s="23">
        <v>730000</v>
      </c>
      <c r="C9" s="23">
        <v>737000</v>
      </c>
      <c r="D9" s="23">
        <v>744000</v>
      </c>
      <c r="E9" s="23">
        <v>732000</v>
      </c>
      <c r="F9" s="23">
        <v>694000</v>
      </c>
      <c r="G9" s="23">
        <v>681000</v>
      </c>
      <c r="H9" s="23">
        <v>794000</v>
      </c>
      <c r="I9" s="23">
        <v>681000</v>
      </c>
      <c r="J9" s="23">
        <v>616000</v>
      </c>
      <c r="K9" s="23">
        <v>669000</v>
      </c>
      <c r="L9" s="23">
        <v>700000</v>
      </c>
    </row>
    <row r="10" spans="1:14" ht="32.549999999999997" customHeight="1" x14ac:dyDescent="0.3">
      <c r="A10" s="22" t="s">
        <v>13</v>
      </c>
      <c r="B10" s="20">
        <v>261000</v>
      </c>
      <c r="C10" s="20">
        <v>313000</v>
      </c>
      <c r="D10" s="20">
        <v>293000</v>
      </c>
      <c r="E10" s="21">
        <v>339000</v>
      </c>
      <c r="F10" s="21">
        <v>347000</v>
      </c>
      <c r="G10" s="21">
        <v>347000</v>
      </c>
      <c r="H10" s="20">
        <v>523000</v>
      </c>
      <c r="I10" s="20">
        <v>546000</v>
      </c>
      <c r="J10" s="20">
        <v>483000</v>
      </c>
      <c r="K10" s="20">
        <v>498000</v>
      </c>
      <c r="L10" s="20">
        <v>578000</v>
      </c>
    </row>
    <row r="11" spans="1:14" ht="46.8" x14ac:dyDescent="0.3">
      <c r="A11" s="19" t="s">
        <v>12</v>
      </c>
      <c r="B11" s="18">
        <v>71000</v>
      </c>
      <c r="C11" s="18">
        <v>71000</v>
      </c>
      <c r="D11" s="18">
        <v>83208</v>
      </c>
      <c r="E11" s="18">
        <v>85000</v>
      </c>
      <c r="F11" s="18">
        <v>81000</v>
      </c>
      <c r="G11" s="18">
        <v>75145</v>
      </c>
      <c r="H11" s="18">
        <v>86000</v>
      </c>
      <c r="I11" s="18">
        <v>82000</v>
      </c>
      <c r="J11" s="18">
        <v>69000</v>
      </c>
      <c r="K11" s="18">
        <v>73000</v>
      </c>
      <c r="L11" s="18">
        <v>76000</v>
      </c>
    </row>
    <row r="12" spans="1:14" ht="32.549999999999997" customHeight="1" x14ac:dyDescent="0.3">
      <c r="A12" s="17" t="s">
        <v>11</v>
      </c>
      <c r="B12" s="16">
        <v>83679</v>
      </c>
      <c r="C12" s="16">
        <v>83679</v>
      </c>
      <c r="D12" s="16">
        <v>83679</v>
      </c>
      <c r="E12" s="13">
        <v>83679</v>
      </c>
      <c r="F12" s="15">
        <v>88197.5</v>
      </c>
      <c r="G12" s="14">
        <v>92716</v>
      </c>
      <c r="H12" s="13">
        <v>97815</v>
      </c>
      <c r="I12" s="13">
        <v>106870</v>
      </c>
      <c r="J12" s="13">
        <v>114885</v>
      </c>
      <c r="K12" s="13">
        <v>127177</v>
      </c>
      <c r="L12" s="13">
        <v>139259</v>
      </c>
    </row>
    <row r="13" spans="1:14" s="10" customFormat="1" ht="21.6" customHeight="1" x14ac:dyDescent="0.3">
      <c r="A13" s="12" t="s">
        <v>10</v>
      </c>
      <c r="B13" s="11">
        <v>18047625</v>
      </c>
      <c r="C13" s="11">
        <v>18267221</v>
      </c>
      <c r="D13" s="11">
        <v>18558868</v>
      </c>
      <c r="E13" s="11">
        <v>18893191</v>
      </c>
      <c r="F13" s="11">
        <v>19197744</v>
      </c>
      <c r="G13" s="11">
        <v>19370624</v>
      </c>
      <c r="H13" s="11">
        <v>19456334</v>
      </c>
      <c r="I13" s="11">
        <v>19553036</v>
      </c>
      <c r="J13" s="11">
        <v>19658835</v>
      </c>
      <c r="K13" s="11">
        <v>19764771</v>
      </c>
      <c r="L13" s="11">
        <v>19859921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897F-48DD-4854-B976-207E8840861F}">
  <sheetPr>
    <tabColor rgb="FFB4E5A2"/>
  </sheetPr>
  <dimension ref="A1:T27"/>
  <sheetViews>
    <sheetView showGridLines="0" topLeftCell="I5" workbookViewId="0">
      <selection activeCell="A17" sqref="A17:L17"/>
    </sheetView>
  </sheetViews>
  <sheetFormatPr baseColWidth="10" defaultColWidth="10.77734375" defaultRowHeight="14.4" x14ac:dyDescent="0.3"/>
  <cols>
    <col min="1" max="1" width="10.77734375" style="1"/>
    <col min="2" max="12" width="15.77734375" style="1" customWidth="1"/>
    <col min="13" max="16384" width="10.77734375" style="1"/>
  </cols>
  <sheetData>
    <row r="1" spans="1:20" ht="19.2" customHeight="1" thickBot="1" x14ac:dyDescent="0.35">
      <c r="A1" s="98" t="s">
        <v>28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4"/>
      <c r="N1" s="4"/>
    </row>
    <row r="2" spans="1:20" s="8" customFormat="1" ht="22.8" customHeight="1" thickBot="1" x14ac:dyDescent="0.35">
      <c r="A2" s="3" t="s">
        <v>1</v>
      </c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  <c r="K2" s="3">
        <v>2024</v>
      </c>
      <c r="L2" s="3">
        <v>2025</v>
      </c>
      <c r="N2" s="99" t="s">
        <v>27</v>
      </c>
      <c r="O2" s="99"/>
      <c r="P2" s="99"/>
      <c r="Q2" s="99"/>
      <c r="R2" s="99"/>
      <c r="S2" s="99"/>
      <c r="T2" s="54"/>
    </row>
    <row r="3" spans="1:20" ht="16.2" thickBot="1" x14ac:dyDescent="0.35">
      <c r="A3" s="5" t="s">
        <v>5</v>
      </c>
      <c r="B3" s="53">
        <v>12294</v>
      </c>
      <c r="C3" s="53">
        <v>12294</v>
      </c>
      <c r="D3" s="53">
        <v>12981</v>
      </c>
      <c r="E3" s="53">
        <v>15217</v>
      </c>
      <c r="F3" s="53">
        <v>17587</v>
      </c>
      <c r="G3" s="53">
        <v>19142</v>
      </c>
      <c r="H3" s="53">
        <v>24405</v>
      </c>
      <c r="I3" s="53">
        <v>22014</v>
      </c>
      <c r="J3" s="53">
        <v>22771</v>
      </c>
      <c r="K3" s="53">
        <v>20536</v>
      </c>
      <c r="L3" s="53">
        <v>20536</v>
      </c>
      <c r="N3" s="99"/>
      <c r="O3" s="99"/>
      <c r="P3" s="99"/>
      <c r="Q3" s="99"/>
      <c r="R3" s="99"/>
      <c r="S3" s="99"/>
    </row>
    <row r="4" spans="1:20" ht="16.2" thickBot="1" x14ac:dyDescent="0.35">
      <c r="A4" s="5" t="s">
        <v>4</v>
      </c>
      <c r="B4" s="53">
        <v>8235</v>
      </c>
      <c r="C4" s="53">
        <v>8235</v>
      </c>
      <c r="D4" s="53">
        <v>8400</v>
      </c>
      <c r="E4" s="53">
        <v>835</v>
      </c>
      <c r="F4" s="53">
        <v>793</v>
      </c>
      <c r="G4" s="53">
        <v>17785</v>
      </c>
      <c r="H4" s="53">
        <v>20356</v>
      </c>
      <c r="I4" s="53">
        <v>17536</v>
      </c>
      <c r="J4" s="53">
        <v>19155</v>
      </c>
      <c r="K4" s="53">
        <v>20436</v>
      </c>
      <c r="L4" s="53">
        <v>20436</v>
      </c>
      <c r="N4" s="99"/>
      <c r="O4" s="99"/>
      <c r="P4" s="99"/>
      <c r="Q4" s="99"/>
      <c r="R4" s="99"/>
      <c r="S4" s="99"/>
    </row>
    <row r="5" spans="1:20" ht="16.2" thickBot="1" x14ac:dyDescent="0.35">
      <c r="A5" s="5" t="s">
        <v>3</v>
      </c>
      <c r="B5" s="53">
        <v>40941</v>
      </c>
      <c r="C5" s="53">
        <v>40941</v>
      </c>
      <c r="D5" s="53">
        <v>41760</v>
      </c>
      <c r="E5" s="53">
        <v>39477</v>
      </c>
      <c r="F5" s="53">
        <v>37783</v>
      </c>
      <c r="G5" s="53">
        <v>38933</v>
      </c>
      <c r="H5" s="53">
        <v>45690</v>
      </c>
      <c r="I5" s="53">
        <v>46089</v>
      </c>
      <c r="J5" s="53">
        <v>54433</v>
      </c>
      <c r="K5" s="53">
        <v>57969</v>
      </c>
      <c r="L5" s="53">
        <v>57969</v>
      </c>
      <c r="N5" s="99"/>
      <c r="O5" s="99"/>
      <c r="P5" s="99"/>
      <c r="Q5" s="99"/>
      <c r="R5" s="99"/>
      <c r="S5" s="99"/>
    </row>
    <row r="8" spans="1:20" ht="10.050000000000001" customHeight="1" thickBot="1" x14ac:dyDescent="0.35"/>
    <row r="9" spans="1:20" ht="16.2" thickBot="1" x14ac:dyDescent="0.35">
      <c r="A9" s="100" t="s">
        <v>26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</row>
    <row r="10" spans="1:20" s="8" customFormat="1" ht="15.6" x14ac:dyDescent="0.3">
      <c r="A10" s="3" t="s">
        <v>1</v>
      </c>
      <c r="B10" s="3">
        <v>2015</v>
      </c>
      <c r="C10" s="3">
        <v>2016</v>
      </c>
      <c r="D10" s="3">
        <v>2017</v>
      </c>
      <c r="E10" s="3">
        <v>2018</v>
      </c>
      <c r="F10" s="3">
        <v>2019</v>
      </c>
      <c r="G10" s="3">
        <v>2020</v>
      </c>
      <c r="H10" s="3">
        <v>2021</v>
      </c>
      <c r="I10" s="3">
        <v>2022</v>
      </c>
      <c r="J10" s="3">
        <v>2023</v>
      </c>
      <c r="K10" s="3">
        <v>2024</v>
      </c>
      <c r="L10" s="3">
        <v>2025</v>
      </c>
    </row>
    <row r="11" spans="1:20" ht="15.6" x14ac:dyDescent="0.3">
      <c r="A11" s="5" t="s">
        <v>5</v>
      </c>
      <c r="B11" s="51">
        <v>80969</v>
      </c>
      <c r="C11" s="51">
        <v>96540</v>
      </c>
      <c r="D11" s="51">
        <v>86551</v>
      </c>
      <c r="E11" s="52">
        <v>94548</v>
      </c>
      <c r="F11" s="52">
        <v>97348</v>
      </c>
      <c r="G11" s="52">
        <v>101801</v>
      </c>
      <c r="H11" s="52">
        <v>131218</v>
      </c>
      <c r="I11" s="51">
        <f>17.1%*Datos!I2</f>
        <v>215118.00000000003</v>
      </c>
      <c r="J11" s="51">
        <f>17.1%*Datos!J2</f>
        <v>197505.00000000003</v>
      </c>
      <c r="K11" s="6">
        <f>12%*Datos!K2</f>
        <v>148560</v>
      </c>
      <c r="L11" s="6">
        <f>12%*Datos!L2</f>
        <v>160680</v>
      </c>
    </row>
    <row r="12" spans="1:20" ht="15.6" x14ac:dyDescent="0.3">
      <c r="A12" s="5" t="s">
        <v>4</v>
      </c>
      <c r="B12" s="51">
        <v>94966</v>
      </c>
      <c r="C12" s="51">
        <v>77782</v>
      </c>
      <c r="D12" s="51">
        <v>82943</v>
      </c>
      <c r="E12" s="52">
        <v>93848</v>
      </c>
      <c r="F12" s="52">
        <v>88553</v>
      </c>
      <c r="G12" s="52">
        <v>57681</v>
      </c>
      <c r="H12" s="52">
        <v>114887</v>
      </c>
      <c r="I12" s="51">
        <f>+Datos!I2*10%</f>
        <v>125800</v>
      </c>
      <c r="J12" s="51">
        <f>+Datos!J2*10%</f>
        <v>115500</v>
      </c>
      <c r="K12" s="6">
        <f>11%*Datos!K2</f>
        <v>136180</v>
      </c>
      <c r="L12" s="6">
        <f>11%*Datos!L2</f>
        <v>147290</v>
      </c>
    </row>
    <row r="13" spans="1:20" ht="15.6" x14ac:dyDescent="0.3">
      <c r="A13" s="5" t="s">
        <v>3</v>
      </c>
      <c r="B13" s="51">
        <v>326828</v>
      </c>
      <c r="C13" s="51">
        <v>320001</v>
      </c>
      <c r="D13" s="51">
        <v>321177</v>
      </c>
      <c r="E13" s="52">
        <v>351420</v>
      </c>
      <c r="F13" s="52">
        <v>335196</v>
      </c>
      <c r="G13" s="52">
        <v>350930</v>
      </c>
      <c r="H13" s="52">
        <v>419315</v>
      </c>
      <c r="I13" s="51">
        <f>+Datos!I2*34.8%</f>
        <v>437783.99999999994</v>
      </c>
      <c r="J13" s="51">
        <f>+Datos!J2*34.8%</f>
        <v>401940</v>
      </c>
      <c r="K13" s="6">
        <f>21%*Datos!K2+22%*Datos!K2</f>
        <v>532340</v>
      </c>
      <c r="L13" s="6">
        <f>21%*Datos!L2+22%*Datos!L2</f>
        <v>575770</v>
      </c>
    </row>
    <row r="16" spans="1:20" ht="10.050000000000001" customHeight="1" thickBot="1" x14ac:dyDescent="0.35"/>
    <row r="17" spans="1:16" ht="16.2" thickBot="1" x14ac:dyDescent="0.35">
      <c r="A17" s="95" t="s">
        <v>25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7"/>
      <c r="M17" s="4"/>
      <c r="N17" s="4"/>
    </row>
    <row r="18" spans="1:16" ht="15.6" x14ac:dyDescent="0.3">
      <c r="A18" s="3" t="s">
        <v>1</v>
      </c>
      <c r="B18" s="3">
        <v>2015</v>
      </c>
      <c r="C18" s="3">
        <v>2016</v>
      </c>
      <c r="D18" s="3">
        <v>2017</v>
      </c>
      <c r="E18" s="3">
        <v>2018</v>
      </c>
      <c r="F18" s="3">
        <v>2019</v>
      </c>
      <c r="G18" s="3">
        <v>2020</v>
      </c>
      <c r="H18" s="3">
        <v>2021</v>
      </c>
      <c r="I18" s="3">
        <v>2022</v>
      </c>
      <c r="J18" s="3">
        <v>2023</v>
      </c>
      <c r="K18" s="3">
        <v>2024</v>
      </c>
      <c r="L18" s="3">
        <v>2025</v>
      </c>
      <c r="P18" s="50"/>
    </row>
    <row r="19" spans="1:16" ht="15.6" x14ac:dyDescent="0.3">
      <c r="A19" s="45" t="s">
        <v>5</v>
      </c>
      <c r="B19" s="44">
        <f>13%*Datos!B9</f>
        <v>94900</v>
      </c>
      <c r="C19" s="44">
        <f>13%*Datos!C9</f>
        <v>95810</v>
      </c>
      <c r="D19" s="44">
        <f>15%*Datos!D9</f>
        <v>111600</v>
      </c>
      <c r="E19" s="44">
        <f>0.15*Datos!E9</f>
        <v>109800</v>
      </c>
      <c r="F19" s="44">
        <f>0.15*Datos!F9</f>
        <v>104100</v>
      </c>
      <c r="G19" s="44">
        <f>0.15*Datos!G9</f>
        <v>102150</v>
      </c>
      <c r="H19" s="44">
        <f>0.15*Datos!H9</f>
        <v>119100</v>
      </c>
      <c r="I19" s="44">
        <f>15%*Datos!I9</f>
        <v>102150</v>
      </c>
      <c r="J19" s="43">
        <f>15%*Datos!J9</f>
        <v>92400</v>
      </c>
      <c r="K19" s="43">
        <f>14%*Datos!K9</f>
        <v>93660.000000000015</v>
      </c>
      <c r="L19" s="43">
        <f>K19*108%</f>
        <v>101152.80000000002</v>
      </c>
      <c r="M19" s="48"/>
    </row>
    <row r="20" spans="1:16" ht="15.6" x14ac:dyDescent="0.3">
      <c r="A20" s="45" t="s">
        <v>4</v>
      </c>
      <c r="B20" s="49">
        <f>5%*Datos!B9</f>
        <v>36500</v>
      </c>
      <c r="C20" s="49">
        <f>12000+40000</f>
        <v>52000</v>
      </c>
      <c r="D20" s="49">
        <f>13000+48000</f>
        <v>61000</v>
      </c>
      <c r="E20" s="49">
        <f>0.079591*Datos!E9</f>
        <v>58260.611999999994</v>
      </c>
      <c r="F20" s="49">
        <f>0.077194*Datos!F9</f>
        <v>53572.635999999999</v>
      </c>
      <c r="G20" s="49">
        <f>0.074796*Datos!G9</f>
        <v>50936.076000000001</v>
      </c>
      <c r="H20" s="49">
        <f>0.072398*Datos!H9</f>
        <v>57484.012000000002</v>
      </c>
      <c r="I20" s="49">
        <f>7%*Datos!I9</f>
        <v>47670.000000000007</v>
      </c>
      <c r="J20" s="46">
        <v>62000</v>
      </c>
      <c r="K20" s="46">
        <v>64000</v>
      </c>
      <c r="L20" s="46">
        <f>11%*Datos!L9</f>
        <v>77000</v>
      </c>
      <c r="M20" s="48"/>
      <c r="N20" s="47"/>
      <c r="P20" s="7"/>
    </row>
    <row r="21" spans="1:16" ht="15.6" x14ac:dyDescent="0.3">
      <c r="A21" s="45" t="s">
        <v>24</v>
      </c>
      <c r="B21" s="44">
        <f>20%*Datos!B9</f>
        <v>146000</v>
      </c>
      <c r="C21" s="44">
        <v>146000</v>
      </c>
      <c r="D21" s="44">
        <v>143000</v>
      </c>
      <c r="E21" s="44">
        <f>0.193763*Datos!E9</f>
        <v>141834.516</v>
      </c>
      <c r="F21" s="44">
        <f>0.195323*Datos!F9</f>
        <v>135554.16200000001</v>
      </c>
      <c r="G21" s="44">
        <f>0.196882*Datos!G9</f>
        <v>134076.64199999999</v>
      </c>
      <c r="H21" s="44">
        <f>0.198441*Datos!H9</f>
        <v>157562.15400000001</v>
      </c>
      <c r="I21" s="44">
        <f>20%*Datos!I9</f>
        <v>136200</v>
      </c>
      <c r="J21" s="43">
        <f>24%*Datos!J9</f>
        <v>147840</v>
      </c>
      <c r="K21" s="43">
        <f>25%*Datos!K9</f>
        <v>167250</v>
      </c>
      <c r="L21" s="43">
        <f>25%*Datos!L9</f>
        <v>175000</v>
      </c>
      <c r="M21" s="7"/>
    </row>
    <row r="22" spans="1:16" ht="15.6" x14ac:dyDescent="0.3">
      <c r="A22" s="45" t="s">
        <v>23</v>
      </c>
      <c r="B22" s="44">
        <f>13%*Datos!B9</f>
        <v>94900</v>
      </c>
      <c r="C22" s="44">
        <v>97000</v>
      </c>
      <c r="D22" s="44">
        <v>101000</v>
      </c>
      <c r="E22" s="44">
        <f>0.148602*Datos!E9</f>
        <v>108776.664</v>
      </c>
      <c r="F22" s="44">
        <f>0.161452*Datos!F9</f>
        <v>112047.68800000001</v>
      </c>
      <c r="G22" s="44">
        <f>0.174301*Datos!G9</f>
        <v>118698.98100000001</v>
      </c>
      <c r="H22" s="44">
        <f>0.187151*Datos!H9</f>
        <v>148597.894</v>
      </c>
      <c r="I22" s="44">
        <f>20%*Datos!I9</f>
        <v>136200</v>
      </c>
      <c r="J22" s="46">
        <f>16%*Datos!J9</f>
        <v>98560</v>
      </c>
      <c r="K22" s="46">
        <f>17%*Datos!K9</f>
        <v>113730.00000000001</v>
      </c>
      <c r="L22" s="46">
        <f>17%*Datos!L9</f>
        <v>119000.00000000001</v>
      </c>
    </row>
    <row r="23" spans="1:16" ht="15.6" x14ac:dyDescent="0.3">
      <c r="A23" s="45" t="s">
        <v>22</v>
      </c>
      <c r="B23" s="44">
        <f>12%*Datos!B9</f>
        <v>87600</v>
      </c>
      <c r="C23" s="44">
        <v>88000</v>
      </c>
      <c r="D23" s="44">
        <v>84000</v>
      </c>
      <c r="E23" s="44">
        <f>0.108323*Datos!E9</f>
        <v>79292.436000000002</v>
      </c>
      <c r="F23" s="44">
        <f>0.103742*Datos!F9</f>
        <v>71996.948000000004</v>
      </c>
      <c r="G23" s="44">
        <f>0.099161*Datos!G9</f>
        <v>67528.641000000003</v>
      </c>
      <c r="H23" s="44">
        <f>0.094581*Datos!H9</f>
        <v>75097.313999999998</v>
      </c>
      <c r="I23" s="44">
        <f>9%*Datos!I9</f>
        <v>61290</v>
      </c>
      <c r="J23" s="46">
        <v>100000</v>
      </c>
      <c r="K23" s="46">
        <v>63000</v>
      </c>
      <c r="L23" s="46">
        <f>9%*Datos!L9</f>
        <v>63000</v>
      </c>
    </row>
    <row r="24" spans="1:16" ht="15.6" x14ac:dyDescent="0.3">
      <c r="A24" s="45" t="s">
        <v>3</v>
      </c>
      <c r="B24" s="44">
        <f>B23+B21+B22</f>
        <v>328500</v>
      </c>
      <c r="C24" s="44">
        <f>C23+C21+C22</f>
        <v>331000</v>
      </c>
      <c r="D24" s="44">
        <f>+D21+D22+D23</f>
        <v>328000</v>
      </c>
      <c r="E24" s="44">
        <f>E21+E22+E23</f>
        <v>329903.61599999998</v>
      </c>
      <c r="F24" s="44">
        <f>F21+F22+F23</f>
        <v>319598.79800000007</v>
      </c>
      <c r="G24" s="44">
        <f>G21+G22+G23</f>
        <v>320304.26400000002</v>
      </c>
      <c r="H24" s="44">
        <f>H21+H22+H23</f>
        <v>381257.36200000002</v>
      </c>
      <c r="I24" s="44">
        <f>+I21+I22+I23</f>
        <v>333690</v>
      </c>
      <c r="J24" s="43">
        <f>+J21+J22+J23</f>
        <v>346400</v>
      </c>
      <c r="K24" s="43">
        <f>+K21+K22+K23</f>
        <v>343980</v>
      </c>
      <c r="L24" s="43">
        <f>L21+L22+L23</f>
        <v>357000</v>
      </c>
    </row>
    <row r="25" spans="1:16" x14ac:dyDescent="0.3">
      <c r="C25" s="42"/>
    </row>
    <row r="27" spans="1:16" ht="10.050000000000001" customHeight="1" x14ac:dyDescent="0.3"/>
  </sheetData>
  <mergeCells count="4">
    <mergeCell ref="A17:L17"/>
    <mergeCell ref="A1:L1"/>
    <mergeCell ref="N2:S5"/>
    <mergeCell ref="A9:L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409F-064D-4569-8B55-ADA184EB936E}">
  <sheetPr>
    <tabColor rgb="FFE59EDD"/>
  </sheetPr>
  <dimension ref="A1:E5"/>
  <sheetViews>
    <sheetView showGridLines="0" workbookViewId="0">
      <selection activeCell="E17" sqref="E17"/>
    </sheetView>
  </sheetViews>
  <sheetFormatPr baseColWidth="10" defaultColWidth="10.77734375" defaultRowHeight="14.4" x14ac:dyDescent="0.3"/>
  <cols>
    <col min="1" max="1" width="10.77734375" style="1"/>
    <col min="2" max="2" width="17.109375" style="1" customWidth="1"/>
    <col min="3" max="3" width="17.6640625" style="1" customWidth="1"/>
    <col min="4" max="16384" width="10.77734375" style="1"/>
  </cols>
  <sheetData>
    <row r="1" spans="1:5" ht="16.2" thickBot="1" x14ac:dyDescent="0.35">
      <c r="A1" s="101" t="s">
        <v>9</v>
      </c>
      <c r="B1" s="101"/>
      <c r="C1" s="101"/>
      <c r="D1" s="101"/>
      <c r="E1" s="101"/>
    </row>
    <row r="2" spans="1:5" ht="15.6" x14ac:dyDescent="0.3">
      <c r="A2" s="3" t="s">
        <v>8</v>
      </c>
      <c r="B2" s="3" t="s">
        <v>7</v>
      </c>
      <c r="C2" s="3" t="s">
        <v>6</v>
      </c>
      <c r="D2" s="8"/>
    </row>
    <row r="3" spans="1:5" ht="15.6" x14ac:dyDescent="0.3">
      <c r="A3" s="5" t="s">
        <v>5</v>
      </c>
      <c r="B3" s="6">
        <v>2940</v>
      </c>
      <c r="C3" s="6">
        <v>510</v>
      </c>
      <c r="D3" s="7"/>
    </row>
    <row r="4" spans="1:5" ht="15.6" x14ac:dyDescent="0.3">
      <c r="A4" s="5" t="s">
        <v>4</v>
      </c>
      <c r="B4" s="6">
        <v>1900</v>
      </c>
      <c r="C4" s="6">
        <v>348</v>
      </c>
    </row>
    <row r="5" spans="1:5" ht="15.6" x14ac:dyDescent="0.3">
      <c r="A5" s="5" t="s">
        <v>3</v>
      </c>
      <c r="B5" s="6">
        <v>1955</v>
      </c>
      <c r="C5" s="6">
        <v>348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D1B6-52ED-42AB-8340-CACEF353AA7A}">
  <sheetPr>
    <tabColor rgb="FFE59EDD"/>
  </sheetPr>
  <dimension ref="A1:L3"/>
  <sheetViews>
    <sheetView showGridLines="0" workbookViewId="0">
      <selection activeCell="F13" sqref="F13"/>
    </sheetView>
  </sheetViews>
  <sheetFormatPr baseColWidth="10" defaultColWidth="10.77734375" defaultRowHeight="14.4" x14ac:dyDescent="0.3"/>
  <cols>
    <col min="1" max="1" width="17.77734375" style="1" customWidth="1"/>
    <col min="2" max="2" width="11.6640625" style="1" customWidth="1"/>
    <col min="3" max="3" width="10.77734375" style="1"/>
    <col min="4" max="4" width="10.6640625" style="1" customWidth="1"/>
    <col min="5" max="5" width="16.44140625" style="1" customWidth="1"/>
    <col min="6" max="16384" width="10.77734375" style="1"/>
  </cols>
  <sheetData>
    <row r="1" spans="1:12" ht="16.2" thickBot="1" x14ac:dyDescent="0.35">
      <c r="A1" s="101" t="s">
        <v>2</v>
      </c>
      <c r="B1" s="101"/>
      <c r="C1" s="101"/>
      <c r="D1" s="101"/>
      <c r="E1" s="101"/>
      <c r="F1" s="4"/>
      <c r="G1" s="4"/>
      <c r="H1" s="4"/>
      <c r="I1" s="4"/>
      <c r="J1" s="4"/>
      <c r="K1" s="4"/>
      <c r="L1" s="4"/>
    </row>
    <row r="2" spans="1:12" ht="15.6" x14ac:dyDescent="0.3">
      <c r="A2" s="3" t="s">
        <v>1</v>
      </c>
      <c r="B2" s="3">
        <v>2023</v>
      </c>
      <c r="C2" s="3">
        <v>2024</v>
      </c>
      <c r="D2" s="3">
        <v>2025</v>
      </c>
    </row>
    <row r="3" spans="1:12" ht="15.6" x14ac:dyDescent="0.3">
      <c r="A3" s="3" t="s">
        <v>0</v>
      </c>
      <c r="B3" s="2">
        <v>0.13</v>
      </c>
      <c r="C3" s="2">
        <v>0.17</v>
      </c>
      <c r="D3" s="2">
        <v>0.22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6483-008C-41A5-B1FC-FF0A2402B454}">
  <sheetPr>
    <tabColor theme="7" tint="0.39997558519241921"/>
  </sheetPr>
  <dimension ref="A1:O23"/>
  <sheetViews>
    <sheetView topLeftCell="C1" workbookViewId="0">
      <selection activeCell="C2" sqref="C2"/>
    </sheetView>
  </sheetViews>
  <sheetFormatPr baseColWidth="10" defaultColWidth="10.77734375" defaultRowHeight="14.4" x14ac:dyDescent="0.3"/>
  <cols>
    <col min="1" max="1" width="16.6640625" style="55" customWidth="1"/>
    <col min="2" max="2" width="46.88671875" style="55" bestFit="1" customWidth="1"/>
    <col min="3" max="3" width="78.6640625" style="55" customWidth="1"/>
    <col min="4" max="4" width="14.6640625" style="55" customWidth="1"/>
    <col min="5" max="16384" width="10.77734375" style="55"/>
  </cols>
  <sheetData>
    <row r="1" spans="1:15" s="91" customFormat="1" ht="16.2" thickBot="1" x14ac:dyDescent="0.35">
      <c r="A1" s="94" t="s">
        <v>67</v>
      </c>
      <c r="B1" s="93" t="s">
        <v>66</v>
      </c>
      <c r="C1" s="93" t="s">
        <v>65</v>
      </c>
      <c r="D1" s="93" t="s">
        <v>64</v>
      </c>
      <c r="E1" s="93">
        <v>2015</v>
      </c>
      <c r="F1" s="93">
        <v>2016</v>
      </c>
      <c r="G1" s="93">
        <v>2017</v>
      </c>
      <c r="H1" s="93">
        <v>2018</v>
      </c>
      <c r="I1" s="93">
        <v>2019</v>
      </c>
      <c r="J1" s="93">
        <v>2020</v>
      </c>
      <c r="K1" s="93">
        <v>2021</v>
      </c>
      <c r="L1" s="93">
        <v>2022</v>
      </c>
      <c r="M1" s="93">
        <v>2023</v>
      </c>
      <c r="N1" s="93">
        <v>2024</v>
      </c>
      <c r="O1" s="92">
        <v>2025</v>
      </c>
    </row>
    <row r="2" spans="1:15" ht="16.2" thickBot="1" x14ac:dyDescent="0.35">
      <c r="A2" s="74" t="s">
        <v>63</v>
      </c>
      <c r="B2" s="65" t="s">
        <v>62</v>
      </c>
      <c r="C2" s="90" t="s">
        <v>61</v>
      </c>
      <c r="D2" s="83"/>
      <c r="E2" s="89">
        <f>Datos!B3</f>
        <v>8.5000000000000006E-2</v>
      </c>
      <c r="F2" s="89">
        <f>Datos!C3</f>
        <v>8.5000000000000006E-2</v>
      </c>
      <c r="G2" s="89">
        <f>Datos!D3</f>
        <v>8.5000000000000006E-2</v>
      </c>
      <c r="H2" s="89">
        <f>Datos!E3</f>
        <v>8.5000000000000006E-2</v>
      </c>
      <c r="I2" s="89">
        <f>Datos!F3</f>
        <v>9.0499999999999997E-2</v>
      </c>
      <c r="J2" s="89">
        <f>Datos!G3</f>
        <v>9.6000000000000002E-2</v>
      </c>
      <c r="K2" s="89">
        <f>Datos!H3</f>
        <v>8.6999999999999994E-2</v>
      </c>
      <c r="L2" s="89">
        <f>Datos!I3</f>
        <v>7.8E-2</v>
      </c>
      <c r="M2" s="89">
        <f>Datos!J3</f>
        <v>9.0499999999999997E-2</v>
      </c>
      <c r="N2" s="89">
        <f>Datos!K3</f>
        <v>0.10299999999999999</v>
      </c>
      <c r="O2" s="88">
        <f>Datos!L3</f>
        <v>0.10299999999999999</v>
      </c>
    </row>
    <row r="3" spans="1:15" ht="16.2" thickBot="1" x14ac:dyDescent="0.35">
      <c r="A3" s="74" t="s">
        <v>60</v>
      </c>
      <c r="B3" s="65" t="s">
        <v>59</v>
      </c>
      <c r="C3" s="90" t="s">
        <v>58</v>
      </c>
      <c r="D3" s="83"/>
      <c r="E3" s="89">
        <f>Datos!B6</f>
        <v>7.0000000000000007E-2</v>
      </c>
      <c r="F3" s="89">
        <f>Datos!C6</f>
        <v>7.0000000000000007E-2</v>
      </c>
      <c r="G3" s="89">
        <f>Datos!D6</f>
        <v>7.0000000000000007E-2</v>
      </c>
      <c r="H3" s="89">
        <f>Datos!E6</f>
        <v>7.0000000000000007E-2</v>
      </c>
      <c r="I3" s="89">
        <f>Datos!F6</f>
        <v>0.08</v>
      </c>
      <c r="J3" s="89">
        <f>Datos!G6</f>
        <v>0.09</v>
      </c>
      <c r="K3" s="89">
        <f>Datos!H6</f>
        <v>0.1</v>
      </c>
      <c r="L3" s="89">
        <f>Datos!I6</f>
        <v>0.11</v>
      </c>
      <c r="M3" s="89">
        <f>Datos!J6</f>
        <v>0.12</v>
      </c>
      <c r="N3" s="89">
        <f>Datos!K6</f>
        <v>0.13</v>
      </c>
      <c r="O3" s="88">
        <f>Datos!L6</f>
        <v>0.14000000000000001</v>
      </c>
    </row>
    <row r="4" spans="1:15" ht="15" thickBot="1" x14ac:dyDescent="0.35">
      <c r="A4" s="102" t="s">
        <v>57</v>
      </c>
      <c r="B4" s="103" t="s">
        <v>56</v>
      </c>
      <c r="C4" s="87" t="s">
        <v>55</v>
      </c>
      <c r="D4" s="86"/>
      <c r="E4" s="104">
        <f>Datos!B5*1000/Datos!B13</f>
        <v>23.298356431940491</v>
      </c>
      <c r="F4" s="104">
        <f>Datos!C5*1000/Datos!C13</f>
        <v>24.437214615184214</v>
      </c>
      <c r="G4" s="104">
        <f>Datos!D5*1000/Datos!D13</f>
        <v>22.734145207563305</v>
      </c>
      <c r="H4" s="104">
        <f>Datos!E5*1000/Datos!E13</f>
        <v>24.720016856866582</v>
      </c>
      <c r="I4" s="104">
        <f>Datos!F5*1000/Datos!F13</f>
        <v>23.977817393543742</v>
      </c>
      <c r="J4" s="104">
        <f>Datos!G5*1000/Datos!G13</f>
        <v>23.615140121454012</v>
      </c>
      <c r="K4" s="104">
        <f>Datos!H5*1000/Datos!H13</f>
        <v>32.910619235874549</v>
      </c>
      <c r="L4" s="104">
        <f>Datos!I5*1000/Datos!I13</f>
        <v>30.882160703841592</v>
      </c>
      <c r="M4" s="104">
        <f>Datos!J5*1000/Datos!J13</f>
        <v>28.201060744443911</v>
      </c>
      <c r="N4" s="104">
        <f>Datos!K5*1000/Datos!K13</f>
        <v>30.065615230249822</v>
      </c>
      <c r="O4" s="119">
        <f>Datos!L5*1000/Datos!L13</f>
        <v>32.362666498018797</v>
      </c>
    </row>
    <row r="5" spans="1:15" ht="15" thickBot="1" x14ac:dyDescent="0.35">
      <c r="A5" s="102"/>
      <c r="B5" s="103"/>
      <c r="C5" s="85" t="s">
        <v>54</v>
      </c>
      <c r="D5" s="8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19"/>
    </row>
    <row r="6" spans="1:15" ht="15" thickBot="1" x14ac:dyDescent="0.35">
      <c r="A6" s="108" t="s">
        <v>53</v>
      </c>
      <c r="B6" s="103" t="s">
        <v>52</v>
      </c>
      <c r="C6" s="69" t="s">
        <v>51</v>
      </c>
      <c r="D6" s="83"/>
      <c r="E6" s="105"/>
      <c r="F6" s="105"/>
      <c r="G6" s="105"/>
      <c r="H6" s="105"/>
      <c r="I6" s="105"/>
      <c r="J6" s="105"/>
      <c r="K6" s="105"/>
      <c r="L6" s="105"/>
      <c r="M6" s="106">
        <f>+Datos!J7/(Metas_REP!B3*Datos!I5)</f>
        <v>0.84749908279320052</v>
      </c>
      <c r="N6" s="106">
        <f>+Datos!K7/(Metas_REP!C3*Datos!J5)</f>
        <v>0.81965877259994901</v>
      </c>
      <c r="O6" s="107">
        <f>+Datos!L7/(Metas_REP!D3*Datos!K5)</f>
        <v>0.68828021735937728</v>
      </c>
    </row>
    <row r="7" spans="1:15" ht="15" thickBot="1" x14ac:dyDescent="0.35">
      <c r="A7" s="108"/>
      <c r="B7" s="103"/>
      <c r="C7" s="82" t="s">
        <v>50</v>
      </c>
      <c r="D7" s="81"/>
      <c r="E7" s="109"/>
      <c r="F7" s="109"/>
      <c r="G7" s="105"/>
      <c r="H7" s="105"/>
      <c r="I7" s="105"/>
      <c r="J7" s="105"/>
      <c r="K7" s="105"/>
      <c r="L7" s="105"/>
      <c r="M7" s="106"/>
      <c r="N7" s="106"/>
      <c r="O7" s="107"/>
    </row>
    <row r="8" spans="1:15" ht="15" thickBot="1" x14ac:dyDescent="0.35">
      <c r="A8" s="108" t="s">
        <v>49</v>
      </c>
      <c r="B8" s="125" t="s">
        <v>48</v>
      </c>
      <c r="C8" s="80" t="s">
        <v>47</v>
      </c>
      <c r="D8" s="79"/>
      <c r="E8" s="110"/>
      <c r="F8" s="111"/>
      <c r="G8" s="111"/>
      <c r="H8" s="111"/>
      <c r="I8" s="111"/>
      <c r="J8" s="111"/>
      <c r="K8" s="111"/>
      <c r="L8" s="111"/>
      <c r="M8" s="111"/>
      <c r="N8" s="111"/>
      <c r="O8" s="112"/>
    </row>
    <row r="9" spans="1:15" ht="15" thickBot="1" x14ac:dyDescent="0.35">
      <c r="A9" s="108"/>
      <c r="B9" s="125"/>
      <c r="C9" s="78" t="s">
        <v>46</v>
      </c>
      <c r="D9" s="77"/>
      <c r="E9" s="113"/>
      <c r="F9" s="114"/>
      <c r="G9" s="114"/>
      <c r="H9" s="114"/>
      <c r="I9" s="114"/>
      <c r="J9" s="114"/>
      <c r="K9" s="114"/>
      <c r="L9" s="114"/>
      <c r="M9" s="114"/>
      <c r="N9" s="114"/>
      <c r="O9" s="115"/>
    </row>
    <row r="10" spans="1:15" ht="15" thickBot="1" x14ac:dyDescent="0.35">
      <c r="A10" s="108"/>
      <c r="B10" s="125"/>
      <c r="C10" s="78" t="s">
        <v>45</v>
      </c>
      <c r="D10" s="77"/>
      <c r="E10" s="113"/>
      <c r="F10" s="114"/>
      <c r="G10" s="114"/>
      <c r="H10" s="114"/>
      <c r="I10" s="114"/>
      <c r="J10" s="114"/>
      <c r="K10" s="114"/>
      <c r="L10" s="114"/>
      <c r="M10" s="114"/>
      <c r="N10" s="114"/>
      <c r="O10" s="115"/>
    </row>
    <row r="11" spans="1:15" ht="15" thickBot="1" x14ac:dyDescent="0.35">
      <c r="A11" s="108"/>
      <c r="B11" s="125"/>
      <c r="C11" s="78" t="s">
        <v>44</v>
      </c>
      <c r="D11" s="77"/>
      <c r="E11" s="113"/>
      <c r="F11" s="114"/>
      <c r="G11" s="114"/>
      <c r="H11" s="114"/>
      <c r="I11" s="114"/>
      <c r="J11" s="114"/>
      <c r="K11" s="114"/>
      <c r="L11" s="114"/>
      <c r="M11" s="114"/>
      <c r="N11" s="114"/>
      <c r="O11" s="115"/>
    </row>
    <row r="12" spans="1:15" ht="15" thickBot="1" x14ac:dyDescent="0.35">
      <c r="A12" s="108"/>
      <c r="B12" s="125"/>
      <c r="C12" s="78" t="s">
        <v>43</v>
      </c>
      <c r="D12" s="77"/>
      <c r="E12" s="113"/>
      <c r="F12" s="114"/>
      <c r="G12" s="114"/>
      <c r="H12" s="114"/>
      <c r="I12" s="114"/>
      <c r="J12" s="114"/>
      <c r="K12" s="114"/>
      <c r="L12" s="114"/>
      <c r="M12" s="114"/>
      <c r="N12" s="114"/>
      <c r="O12" s="115"/>
    </row>
    <row r="13" spans="1:15" ht="15" thickBot="1" x14ac:dyDescent="0.35">
      <c r="A13" s="108"/>
      <c r="B13" s="125"/>
      <c r="C13" s="76" t="s">
        <v>42</v>
      </c>
      <c r="D13" s="75"/>
      <c r="E13" s="116"/>
      <c r="F13" s="117"/>
      <c r="G13" s="117"/>
      <c r="H13" s="117"/>
      <c r="I13" s="117"/>
      <c r="J13" s="117"/>
      <c r="K13" s="117"/>
      <c r="L13" s="117"/>
      <c r="M13" s="117"/>
      <c r="N13" s="117"/>
      <c r="O13" s="118"/>
    </row>
    <row r="14" spans="1:15" ht="16.2" thickBot="1" x14ac:dyDescent="0.35">
      <c r="A14" s="102" t="s">
        <v>41</v>
      </c>
      <c r="B14" s="121" t="s">
        <v>40</v>
      </c>
      <c r="C14" s="124" t="s">
        <v>39</v>
      </c>
      <c r="D14" s="68" t="s">
        <v>5</v>
      </c>
      <c r="E14" s="67">
        <f>+Resinas!B3/Resinas!B19</f>
        <v>0.12954689146469969</v>
      </c>
      <c r="F14" s="67">
        <f>+Resinas!C3/Resinas!C19</f>
        <v>0.12831645965974325</v>
      </c>
      <c r="G14" s="67">
        <f>+Resinas!D3/Resinas!D19</f>
        <v>0.11631720430107527</v>
      </c>
      <c r="H14" s="67">
        <f>+Resinas!E3/Resinas!E19</f>
        <v>0.13858834244080145</v>
      </c>
      <c r="I14" s="67">
        <f>+Resinas!F3/Resinas!F19</f>
        <v>0.1689433237271854</v>
      </c>
      <c r="J14" s="67">
        <f>+Resinas!G3/Resinas!G19</f>
        <v>0.18739109153206068</v>
      </c>
      <c r="K14" s="67">
        <f>+Resinas!H3/Resinas!H19</f>
        <v>0.204911838790932</v>
      </c>
      <c r="L14" s="67">
        <f>+Resinas!I3/Resinas!I19</f>
        <v>0.21550660792951543</v>
      </c>
      <c r="M14" s="67">
        <f>+Resinas!J3/Resinas!J19</f>
        <v>0.24643939393939393</v>
      </c>
      <c r="N14" s="67">
        <f>+Resinas!K3/Resinas!K19</f>
        <v>0.21926115737774926</v>
      </c>
      <c r="O14" s="66">
        <f>+Resinas!L3/Resinas!L19</f>
        <v>0.20301959016458265</v>
      </c>
    </row>
    <row r="15" spans="1:15" ht="16.2" thickBot="1" x14ac:dyDescent="0.35">
      <c r="A15" s="102"/>
      <c r="B15" s="121"/>
      <c r="C15" s="124" t="s">
        <v>38</v>
      </c>
      <c r="D15" s="45" t="s">
        <v>4</v>
      </c>
      <c r="E15" s="63">
        <f>+Resinas!B4/Resinas!B20</f>
        <v>0.22561643835616438</v>
      </c>
      <c r="F15" s="63">
        <f>+Resinas!C4/Resinas!C20</f>
        <v>0.1583653846153846</v>
      </c>
      <c r="G15" s="63">
        <f>+Resinas!D4/Resinas!D20</f>
        <v>0.13770491803278689</v>
      </c>
      <c r="H15" s="63">
        <f>+Resinas!E4/Resinas!E20</f>
        <v>1.4332152913189448E-2</v>
      </c>
      <c r="I15" s="63">
        <f>+Resinas!F4/Resinas!F20</f>
        <v>1.4802333041816348E-2</v>
      </c>
      <c r="J15" s="63">
        <f>+Resinas!G4/Resinas!G20</f>
        <v>0.3491631353777625</v>
      </c>
      <c r="K15" s="63">
        <f>+Resinas!H4/Resinas!H20</f>
        <v>0.35411585398736606</v>
      </c>
      <c r="L15" s="63">
        <f>+Resinas!I4/Resinas!I20</f>
        <v>0.36786238724564713</v>
      </c>
      <c r="M15" s="63">
        <f>+Resinas!J4/Resinas!J20</f>
        <v>0.30895161290322581</v>
      </c>
      <c r="N15" s="63">
        <f>+Resinas!K4/Resinas!K20</f>
        <v>0.3193125</v>
      </c>
      <c r="O15" s="62">
        <f>+Resinas!L4/Resinas!L20</f>
        <v>0.26540259740259742</v>
      </c>
    </row>
    <row r="16" spans="1:15" ht="16.2" thickBot="1" x14ac:dyDescent="0.35">
      <c r="A16" s="122"/>
      <c r="B16" s="123"/>
      <c r="C16" s="73" t="s">
        <v>37</v>
      </c>
      <c r="D16" s="72" t="s">
        <v>3</v>
      </c>
      <c r="E16" s="71">
        <f>+Resinas!B5/Resinas!B24</f>
        <v>0.12463013698630138</v>
      </c>
      <c r="F16" s="71">
        <f>+Resinas!C5/Resinas!C24</f>
        <v>0.12368882175226587</v>
      </c>
      <c r="G16" s="71">
        <f>+Resinas!D5/Resinas!D24</f>
        <v>0.12731707317073171</v>
      </c>
      <c r="H16" s="71">
        <f>+Resinas!E5/Resinas!E24</f>
        <v>0.11966222279903717</v>
      </c>
      <c r="I16" s="71">
        <f>+Resinas!F5/Resinas!F24</f>
        <v>0.1182200941819562</v>
      </c>
      <c r="J16" s="71">
        <f>+Resinas!G5/Resinas!G24</f>
        <v>0.12155005217164389</v>
      </c>
      <c r="K16" s="71">
        <f>+Resinas!H5/Resinas!H24</f>
        <v>0.1198403088148105</v>
      </c>
      <c r="L16" s="71">
        <f>+Resinas!I5/Resinas!I24</f>
        <v>0.13811921244268632</v>
      </c>
      <c r="M16" s="71">
        <f>+Resinas!J5/Resinas!J24</f>
        <v>0.15713914549653579</v>
      </c>
      <c r="N16" s="71">
        <f>+Resinas!K5/Resinas!K24</f>
        <v>0.16852433281004708</v>
      </c>
      <c r="O16" s="70">
        <f>+Resinas!L5/Resinas!L24</f>
        <v>0.1623781512605042</v>
      </c>
    </row>
    <row r="17" spans="1:15" ht="16.2" thickBot="1" x14ac:dyDescent="0.35">
      <c r="A17" s="120" t="s">
        <v>36</v>
      </c>
      <c r="B17" s="121" t="s">
        <v>35</v>
      </c>
      <c r="C17" s="69" t="s">
        <v>34</v>
      </c>
      <c r="D17" s="68" t="s">
        <v>5</v>
      </c>
      <c r="E17" s="67">
        <f>(Emisiones!$B$3-Emisiones!$C$3)*Resinas!B3/1000000000</f>
        <v>2.9874419999999999E-2</v>
      </c>
      <c r="F17" s="67">
        <f>(Emisiones!$B$3-Emisiones!$C$3)*Resinas!C3/1000000000</f>
        <v>2.9874419999999999E-2</v>
      </c>
      <c r="G17" s="67">
        <f>(Emisiones!$B$3-Emisiones!$C$3)*Resinas!D3/1000000000</f>
        <v>3.1543830000000002E-2</v>
      </c>
      <c r="H17" s="67">
        <f>(Emisiones!$B$3-Emisiones!$C$3)*Resinas!E3/1000000000</f>
        <v>3.6977309999999999E-2</v>
      </c>
      <c r="I17" s="67">
        <f>(Emisiones!$B$3-Emisiones!$C$3)*Resinas!F3/1000000000</f>
        <v>4.2736410000000002E-2</v>
      </c>
      <c r="J17" s="67">
        <f>(Emisiones!$B$3-Emisiones!$C$3)*Resinas!G3/1000000000</f>
        <v>4.6515059999999997E-2</v>
      </c>
      <c r="K17" s="67">
        <f>(Emisiones!$B$3-Emisiones!$C$3)*Resinas!H3/1000000000</f>
        <v>5.930415E-2</v>
      </c>
      <c r="L17" s="67">
        <f>(Emisiones!$B$3-Emisiones!$C$3)*Resinas!I3/1000000000</f>
        <v>5.3494020000000003E-2</v>
      </c>
      <c r="M17" s="67">
        <f>(Emisiones!$B$3-Emisiones!$C$3)*Resinas!J3/1000000000</f>
        <v>5.5333529999999999E-2</v>
      </c>
      <c r="N17" s="67">
        <f>(Emisiones!$B$3-Emisiones!$C$3)*Resinas!K3/1000000000</f>
        <v>4.9902479999999999E-2</v>
      </c>
      <c r="O17" s="66">
        <f>(Emisiones!$B$3-Emisiones!$C$3)*Resinas!L3/1000000000</f>
        <v>4.9902479999999999E-2</v>
      </c>
    </row>
    <row r="18" spans="1:15" ht="16.2" thickBot="1" x14ac:dyDescent="0.35">
      <c r="A18" s="120"/>
      <c r="B18" s="121"/>
      <c r="C18" s="64" t="s">
        <v>33</v>
      </c>
      <c r="D18" s="45" t="s">
        <v>4</v>
      </c>
      <c r="E18" s="63">
        <f>(Emisiones!$B$4-Emisiones!$C$4)*Resinas!B4/1000000000</f>
        <v>1.2780720000000001E-2</v>
      </c>
      <c r="F18" s="63">
        <f>(Emisiones!$B$4-Emisiones!$C$4)*Resinas!C4/1000000000</f>
        <v>1.2780720000000001E-2</v>
      </c>
      <c r="G18" s="63">
        <f>(Emisiones!$B$4-Emisiones!$C$4)*Resinas!D4/1000000000</f>
        <v>1.3036799999999999E-2</v>
      </c>
      <c r="H18" s="63">
        <f>(Emisiones!$B$4-Emisiones!$C$4)*Resinas!E4/1000000000</f>
        <v>1.2959200000000001E-3</v>
      </c>
      <c r="I18" s="63">
        <f>(Emisiones!$B$4-Emisiones!$C$4)*Resinas!F4/1000000000</f>
        <v>1.2307360000000001E-3</v>
      </c>
      <c r="J18" s="63">
        <f>(Emisiones!$B$4-Emisiones!$C$4)*Resinas!G4/1000000000</f>
        <v>2.760232E-2</v>
      </c>
      <c r="K18" s="63">
        <f>(Emisiones!$B$4-Emisiones!$C$4)*Resinas!H4/1000000000</f>
        <v>3.1592512000000003E-2</v>
      </c>
      <c r="L18" s="63">
        <f>(Emisiones!$B$4-Emisiones!$C$4)*Resinas!I4/1000000000</f>
        <v>2.7215871999999999E-2</v>
      </c>
      <c r="M18" s="63">
        <f>(Emisiones!$B$4-Emisiones!$C$4)*Resinas!J4/1000000000</f>
        <v>2.9728560000000001E-2</v>
      </c>
      <c r="N18" s="63">
        <f>(Emisiones!$B$4-Emisiones!$C$4)*Resinas!K4/1000000000</f>
        <v>3.1716672000000001E-2</v>
      </c>
      <c r="O18" s="62">
        <f>(Emisiones!$B$4-Emisiones!$C$4)*Resinas!L4/1000000000</f>
        <v>3.1716672000000001E-2</v>
      </c>
    </row>
    <row r="19" spans="1:15" ht="16.2" thickBot="1" x14ac:dyDescent="0.35">
      <c r="A19" s="120"/>
      <c r="B19" s="121"/>
      <c r="C19" s="64" t="s">
        <v>32</v>
      </c>
      <c r="D19" s="45" t="s">
        <v>3</v>
      </c>
      <c r="E19" s="63">
        <f>(Emisiones!$B$5-Emisiones!$C$5)*Resinas!B5/1000000000</f>
        <v>6.5792187000000002E-2</v>
      </c>
      <c r="F19" s="63">
        <f>(Emisiones!$B$5-Emisiones!$C$5)*Resinas!C5/1000000000</f>
        <v>6.5792187000000002E-2</v>
      </c>
      <c r="G19" s="63">
        <f>(Emisiones!$B$5-Emisiones!$C$5)*Resinas!D5/1000000000</f>
        <v>6.7108319999999999E-2</v>
      </c>
      <c r="H19" s="63">
        <f>(Emisiones!$B$5-Emisiones!$C$5)*Resinas!E5/1000000000</f>
        <v>6.3439539000000003E-2</v>
      </c>
      <c r="I19" s="63">
        <f>(Emisiones!$B$5-Emisiones!$C$5)*Resinas!F5/1000000000</f>
        <v>6.0717280999999998E-2</v>
      </c>
      <c r="J19" s="63">
        <f>(Emisiones!$B$5-Emisiones!$C$5)*Resinas!G5/1000000000</f>
        <v>6.2565331000000002E-2</v>
      </c>
      <c r="K19" s="63">
        <f>(Emisiones!$B$5-Emisiones!$C$5)*Resinas!H5/1000000000</f>
        <v>7.3423829999999995E-2</v>
      </c>
      <c r="L19" s="63">
        <f>(Emisiones!$B$5-Emisiones!$C$5)*Resinas!I5/1000000000</f>
        <v>7.4065022999999994E-2</v>
      </c>
      <c r="M19" s="63">
        <f>(Emisiones!$B$5-Emisiones!$C$5)*Resinas!J5/1000000000</f>
        <v>8.7473831000000002E-2</v>
      </c>
      <c r="N19" s="63">
        <f>(Emisiones!$B$5-Emisiones!$C$5)*Resinas!K5/1000000000</f>
        <v>9.3156183000000004E-2</v>
      </c>
      <c r="O19" s="62">
        <f>(Emisiones!$B$5-Emisiones!$C$5)*Resinas!L5/1000000000</f>
        <v>9.3156183000000004E-2</v>
      </c>
    </row>
    <row r="20" spans="1:15" ht="16.2" thickBot="1" x14ac:dyDescent="0.35">
      <c r="A20" s="61" t="s">
        <v>31</v>
      </c>
      <c r="B20" s="60" t="s">
        <v>30</v>
      </c>
      <c r="C20" s="59" t="s">
        <v>29</v>
      </c>
      <c r="D20" s="58"/>
      <c r="E20" s="57">
        <f t="shared" ref="E20:O20" si="0">SUM(E17:E19)</f>
        <v>0.10844732700000001</v>
      </c>
      <c r="F20" s="57">
        <f t="shared" si="0"/>
        <v>0.10844732700000001</v>
      </c>
      <c r="G20" s="57">
        <f t="shared" si="0"/>
        <v>0.11168895000000001</v>
      </c>
      <c r="H20" s="57">
        <f t="shared" si="0"/>
        <v>0.10171276900000001</v>
      </c>
      <c r="I20" s="57">
        <f t="shared" si="0"/>
        <v>0.104684427</v>
      </c>
      <c r="J20" s="57">
        <f t="shared" si="0"/>
        <v>0.13668271100000001</v>
      </c>
      <c r="K20" s="57">
        <f t="shared" si="0"/>
        <v>0.16432049199999998</v>
      </c>
      <c r="L20" s="57">
        <f t="shared" si="0"/>
        <v>0.15477491500000001</v>
      </c>
      <c r="M20" s="57">
        <f t="shared" si="0"/>
        <v>0.17253592100000001</v>
      </c>
      <c r="N20" s="57">
        <f t="shared" si="0"/>
        <v>0.174775335</v>
      </c>
      <c r="O20" s="56">
        <f t="shared" si="0"/>
        <v>0.174775335</v>
      </c>
    </row>
    <row r="21" spans="1:15" ht="10.050000000000001" customHeight="1" x14ac:dyDescent="0.3"/>
    <row r="22" spans="1:15" ht="10.050000000000001" customHeight="1" x14ac:dyDescent="0.3"/>
    <row r="23" spans="1:15" ht="10.5" customHeight="1" x14ac:dyDescent="0.3"/>
  </sheetData>
  <mergeCells count="34">
    <mergeCell ref="A8:A13"/>
    <mergeCell ref="B8:B13"/>
    <mergeCell ref="A17:A19"/>
    <mergeCell ref="B17:B19"/>
    <mergeCell ref="A14:A16"/>
    <mergeCell ref="B14:B16"/>
    <mergeCell ref="C14:C15"/>
    <mergeCell ref="E8:O13"/>
    <mergeCell ref="O4:O5"/>
    <mergeCell ref="I6:I7"/>
    <mergeCell ref="J6:J7"/>
    <mergeCell ref="K6:K7"/>
    <mergeCell ref="A6:A7"/>
    <mergeCell ref="B6:B7"/>
    <mergeCell ref="E6:E7"/>
    <mergeCell ref="F6:F7"/>
    <mergeCell ref="G6:G7"/>
    <mergeCell ref="L6:L7"/>
    <mergeCell ref="M6:M7"/>
    <mergeCell ref="N6:N7"/>
    <mergeCell ref="O6:O7"/>
    <mergeCell ref="H4:H5"/>
    <mergeCell ref="I4:I5"/>
    <mergeCell ref="H6:H7"/>
    <mergeCell ref="M4:M5"/>
    <mergeCell ref="N4:N5"/>
    <mergeCell ref="J4:J5"/>
    <mergeCell ref="K4:K5"/>
    <mergeCell ref="L4:L5"/>
    <mergeCell ref="A4:A5"/>
    <mergeCell ref="B4:B5"/>
    <mergeCell ref="E4:E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Resinas</vt:lpstr>
      <vt:lpstr>Emisiones</vt:lpstr>
      <vt:lpstr>Metas_REP</vt:lpstr>
      <vt:lpstr>Desarrollo de 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Arriagada González</dc:creator>
  <cp:lastModifiedBy>Catalina Arriagada González</cp:lastModifiedBy>
  <dcterms:created xsi:type="dcterms:W3CDTF">2026-09-23T01:25:44Z</dcterms:created>
  <dcterms:modified xsi:type="dcterms:W3CDTF">2026-09-23T02:33:20Z</dcterms:modified>
</cp:coreProperties>
</file>